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eta - Main Site" sheetId="2" state="visible" r:id="rId4"/>
    <sheet name="Meta - Learning" sheetId="3" state="visible" r:id="rId5"/>
    <sheet name="Keyword Map" sheetId="4" state="visible" r:id="rId6"/>
    <sheet name="Fix List" sheetId="5" state="visible" r:id="rId7"/>
    <sheet name="AEO-GEO Playbook" sheetId="6" state="visible" r:id="rId8"/>
  </sheets>
  <definedNames>
    <definedName function="false" hidden="true" localSheetId="4" name="_xlnm._FilterDatabase" vbProcedure="false">'Fix List'!$A$4:$G$28</definedName>
    <definedName function="false" hidden="true" localSheetId="3" name="_xlnm._FilterDatabase" vbProcedure="false">'Keyword Map'!$A$4:$H$45</definedName>
    <definedName function="false" hidden="true" localSheetId="2" name="_xlnm._FilterDatabase" vbProcedure="false">'Meta - Learning'!$A$4:$R$56</definedName>
    <definedName function="false" hidden="true" localSheetId="1" name="_xlnm._FilterDatabase" vbProcedure="false">'Meta - Main Site'!$A$4:$R$53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<sst xmlns="http://schemas.openxmlformats.org/spreadsheetml/2006/main" count="1991" uniqueCount="1310">
  <si>
    <t xml:space="preserve">Stockstrail SEO / AEO / GEO blueprint</t>
  </si>
  <si>
    <t xml:space="preserve">Prepared 9 Oct 2026 from a live read of stockstrail.in plus current search data.</t>
  </si>
  <si>
    <t xml:space="preserve">WHAT'S IN THIS FILE</t>
  </si>
  <si>
    <t xml:space="preserve">Meta - Main Site</t>
  </si>
  <si>
    <t xml:space="preserve">49 pages of stockstrail.in: new title + description, keywords, intent, priority, indexing and implementation notes, next to your current values.</t>
  </si>
  <si>
    <t xml:space="preserve">Meta - Learning</t>
  </si>
  <si>
    <t xml:space="preserve">52 pages of learning.stockstrail.in (hub, categories, courses, lessons).</t>
  </si>
  <si>
    <t xml:space="preserve">Keyword Map</t>
  </si>
  <si>
    <t xml:space="preserve">41 target keywords mapped to pages, with estimated demand / competition and the realistic winnability.</t>
  </si>
  <si>
    <t xml:space="preserve">Fix List</t>
  </si>
  <si>
    <t xml:space="preserve">24 technical, content and compliance issues found on the live site, prioritised.</t>
  </si>
  <si>
    <t xml:space="preserve">AEO-GEO Playbook</t>
  </si>
  <si>
    <t xml:space="preserve">13 levers for being cited in AI Overviews, AI Mode and other AI answers.</t>
  </si>
  <si>
    <t xml:space="preserve">RULES USED FOR EVERY TITLE AND DESCRIPTION</t>
  </si>
  <si>
    <t xml:space="preserve">Brand</t>
  </si>
  <si>
    <t xml:space="preserve">'Stockstrail' appears in every title. Home leads with the brand; other pages lead with the keyword and close with '| Stockstrail'.</t>
  </si>
  <si>
    <t xml:space="preserve">Title length</t>
  </si>
  <si>
    <t xml:space="preserve">60 characters or fewer so most are not cut off. Google has no fixed limit; truncation depends on pixel width.</t>
  </si>
  <si>
    <t xml:space="preserve">Description length</t>
  </si>
  <si>
    <t xml:space="preserve">About 125-160 characters with the key point in the first ~120. Google states there is no length limit and truncates to fit the device width; it only sometimes uses your description, and descriptions are not a ranking factor. Their job is clarity and click-through.</t>
  </si>
  <si>
    <t xml:space="preserve">Claims</t>
  </si>
  <si>
    <t xml:space="preserve">No 'best', 'top', 'guaranteed', 'unbiased', 'zero commission' or unverifiable numbers. Rates, tax and holiday facts were checked against current sources (see below).</t>
  </si>
  <si>
    <t xml:space="preserve">Compliance wording</t>
  </si>
  <si>
    <t xml:space="preserve">Stockstrail is described as an 'AMFI-registered mutual fund distributor (ARN-284122)'. Review Fix List F6-F8 with a compliance professional.</t>
  </si>
  <si>
    <t xml:space="preserve">LIVE QA (formulas)</t>
  </si>
  <si>
    <t xml:space="preserve">Main-site pages covered</t>
  </si>
  <si>
    <t xml:space="preserve">Learning pages covered</t>
  </si>
  <si>
    <t xml:space="preserve">New titles over 60 characters</t>
  </si>
  <si>
    <t xml:space="preserve">New descriptions over 160 characters</t>
  </si>
  <si>
    <t xml:space="preserve">OLD titles over 60 characters</t>
  </si>
  <si>
    <t xml:space="preserve">Avg. new title length</t>
  </si>
  <si>
    <t xml:space="preserve">FACTS CHECKED (9 Oct 2026) AND SOURCES</t>
  </si>
  <si>
    <t xml:space="preserve">NSE/BSE holidays 2026</t>
  </si>
  <si>
    <t xml:space="preserve">15 weekday equity trading holidays (Outlook Money, Tata Mutual Fund, Finology). Muhurat Trading is Sunday 8 Nov 2026, confirmed in an NSE circular; timings are announced closer to the date. Remaining 2026 closures after today: 20 Oct, 10 Nov, 24 Nov, 25 Dec.</t>
  </si>
  <si>
    <t xml:space="preserve">Income tax FY 2026-27</t>
  </si>
  <si>
    <t xml:space="preserve">Budget 2026 (1 Feb 2026) made no change to slabs; new regime remains default; income up to ₹12 lakh effectively tax-free via the 87A rebate; standard deduction ₹75,000 (new) / ₹50,000 (old). The Income-tax Act 2025 replaces the 1961 Act from 1 Apr 2026 (Tata Capital, BankBazaar, Bajaj Finserv, Basunivesh). Verify section numbering before quoting 87A/80C.</t>
  </si>
  <si>
    <t xml:space="preserve">Loan against mutual funds</t>
  </si>
  <si>
    <t xml:space="preserve">RBI issued revised LAMF rules on 13 Feb 2026, with a ₹1 crore cap effective July 2026 (Upstox). Market rates broadly 8-13% p.a. (JM Financial, Stable Money, Upstox). Your own pages quote 9% and 9.5%: keep one dated figure.</t>
  </si>
  <si>
    <t xml:space="preserve">Google meta guidance</t>
  </si>
  <si>
    <t xml:space="preserve">Google Search Central, 'Control your snippets in search results': no length limit; truncated to device width; meta description used only when Google considers it more accurate than page text.</t>
  </si>
  <si>
    <t xml:space="preserve">Google and AI search</t>
  </si>
  <si>
    <t xml:space="preserve">Google, 'Optimizing your website for generative AI features on Google Search' (15 May 2026), as summarised by Search Engine Journal, Practical Ecommerce and others: Google treats AI Overviews/AI Mode optimisation as SEO, with no additional technical requirements. I read these secondary summaries, not Google's primary page.</t>
  </si>
  <si>
    <t xml:space="preserve">LIMITS OF THIS WORK</t>
  </si>
  <si>
    <t xml:space="preserve">No keyword-volume tool</t>
  </si>
  <si>
    <t xml:space="preserve">I could not access Keyword Planner, Semrush or Search Console, so volumes are not exact. Use the Keyword Map as a prioritised hypothesis and confirm with your own Search Console data.</t>
  </si>
  <si>
    <t xml:space="preserve">Pages actually read live</t>
  </si>
  <si>
    <t xml:space="preserve">Home, About, Services &gt; Mutual Funds, SIP Calculator and Blog home. Other pages were rewritten from your sheet; confirm each description matches what its page actually says before publishing.</t>
  </si>
  <si>
    <t xml:space="preserve">Not verified</t>
  </si>
  <si>
    <t xml:space="preserve">robots.txt, XML sitemap, structured data, Core Web Vitals, backlinks, Search Console health.</t>
  </si>
  <si>
    <t xml:space="preserve">Not legal advice</t>
  </si>
  <si>
    <t xml:space="preserve">Compliance flags (Fix List F6-F8) are for review by a qualified professional.</t>
  </si>
  <si>
    <t xml:space="preserve">Stockstrail: Meta titles &amp; descriptions: main site (stockstrail.in)</t>
  </si>
  <si>
    <t xml:space="preserve">Green columns are the NEW values to implement. Title target: 60 characters or fewer, brand included. Description target: about 125-160 characters, with the key point in the first ~120 (mobile truncates sooner). 'Title chars' / 'Desc chars' recalculate if you edit the text. Red/amber = outside range.</t>
  </si>
  <si>
    <t xml:space="preserve">#</t>
  </si>
  <si>
    <t xml:space="preserve">Group</t>
  </si>
  <si>
    <t xml:space="preserve">Page</t>
  </si>
  <si>
    <t xml:space="preserve">Canonical URL</t>
  </si>
  <si>
    <t xml:space="preserve">NEW Meta Title</t>
  </si>
  <si>
    <t xml:space="preserve">Title chars</t>
  </si>
  <si>
    <t xml:space="preserve">NEW Meta Description</t>
  </si>
  <si>
    <t xml:space="preserve">Desc chars</t>
  </si>
  <si>
    <t xml:space="preserve">Primary keyword</t>
  </si>
  <si>
    <t xml:space="preserve">Secondary / long-tail keywords</t>
  </si>
  <si>
    <t xml:space="preserve">Search intent</t>
  </si>
  <si>
    <t xml:space="preserve">Priority</t>
  </si>
  <si>
    <t xml:space="preserve">Indexing</t>
  </si>
  <si>
    <t xml:space="preserve">Why this change / implementation notes</t>
  </si>
  <si>
    <t xml:space="preserve">Current Title (from your sheet)</t>
  </si>
  <si>
    <t xml:space="preserve">Current Description (from your sheet)</t>
  </si>
  <si>
    <t xml:space="preserve">Old title chars</t>
  </si>
  <si>
    <t xml:space="preserve">Old desc chars</t>
  </si>
  <si>
    <t xml:space="preserve">Core</t>
  </si>
  <si>
    <t xml:space="preserve">Home Page</t>
  </si>
  <si>
    <t xml:space="preserve">https://www.stockstrail.in</t>
  </si>
  <si>
    <t xml:space="preserve">Stockstrail | Financial Planning &amp; Mutual Fund SIP in India</t>
  </si>
  <si>
    <t xml:space="preserve">Stockstrail (AMFI ARN-284122) guides families and salaried professionals on mutual fund SIPs, term &amp; health insurance, FDs and loans. Book a free strategy call.</t>
  </si>
  <si>
    <t xml:space="preserve">Stockstrail (brand); financial planning India</t>
  </si>
  <si>
    <t xml:space="preserve">mutual fund SIP India; mutual fund distributor Himachal Pradesh; goal based financial planning; AMFI registered distributor</t>
  </si>
  <si>
    <t xml:space="preserve">Navigational + Commercial</t>
  </si>
  <si>
    <t xml:space="preserve">P1</t>
  </si>
  <si>
    <t xml:space="preserve">index</t>
  </si>
  <si>
    <t xml:space="preserve">Dropped 'India's trusted' (unverifiable superlative) and 'Expert advisory' (see compliance fix F7). Home H1 ('Smart Investing for Your Family...') has no primary keyword: suggest 'Financial Planning &amp; Mutual Fund Guidance in India'. Add Organization + FinancialService + WebSite schema with sameAs links.</t>
  </si>
  <si>
    <t xml:space="preserve">Stockstrail | Financial Planning &amp; Investment Platform India</t>
  </si>
  <si>
    <t xml:space="preserve">Stockstrail (AMFI ARN-284122) is India's trusted financial planning and investment platform. Expert advisory on Mutual Funds SIP, Term Insurance, Fixed Deposits, and Loans.</t>
  </si>
  <si>
    <t xml:space="preserve">About Us</t>
  </si>
  <si>
    <t xml:space="preserve">https://www.stockstrail.in/about</t>
  </si>
  <si>
    <t xml:space="preserve">About Stockstrail | Vikrant Bhardwaj, AMFI ARN-284122</t>
  </si>
  <si>
    <t xml:space="preserve">Meet Vikrant Bhardwaj, founder of Stockstrail, an AMFI-registered mutual fund distributor (ARN-284122) in Himachal Pradesh serving 200+ clients across India.</t>
  </si>
  <si>
    <t xml:space="preserve">about Stockstrail; Vikrant Bhardwaj</t>
  </si>
  <si>
    <t xml:space="preserve">AMFI registered mutual fund distributor Himachal Pradesh; NISM Series V-A certified distributor</t>
  </si>
  <si>
    <t xml:space="preserve">Navigational / Trust (E-E-A-T)</t>
  </si>
  <si>
    <t xml:space="preserve">Live site currently serves an OLDER title/description than your sheet ('About Us | Stockstrail — Founder, Certifications &amp; Our Approach'): confirm what is deployed. Put the person + credential in the title: this is the authority page AI systems cite. Remove the 'SEBI Registered' label next to the SEBI exam certificate (exam certification is not registration). Add Person schema + author page.</t>
  </si>
  <si>
    <t xml:space="preserve">About Stockstrail | Financial Planning &amp; Investment Guidance in India</t>
  </si>
  <si>
    <t xml:space="preserve">Learn about Stockstrail, an AMFI-registered practice founded by Vikrant Bhardwaj (ARN-284122) to make financial planning and investment decisions easier to understand, with goal-focused guidance across India.</t>
  </si>
  <si>
    <t xml:space="preserve">Services Directory</t>
  </si>
  <si>
    <t xml:space="preserve">https://www.stockstrail.in/services</t>
  </si>
  <si>
    <t xml:space="preserve">Mutual Funds, Insurance, FD &amp; Loan Services | Stockstrail</t>
  </si>
  <si>
    <t xml:space="preserve">Explore Stockstrail's services: mutual fund SIPs, term &amp; health insurance, fixed deposits, loan against mutual funds and Demat accounts. AMFI ARN-284122.</t>
  </si>
  <si>
    <t xml:space="preserve">financial services India</t>
  </si>
  <si>
    <t xml:space="preserve">mutual fund services; insurance FD loan services; financial planning services</t>
  </si>
  <si>
    <t xml:space="preserve">Commercial / Navigational</t>
  </si>
  <si>
    <t xml:space="preserve">Hub page: every service card should link to the canonical /services/... URL (About and Blog footers currently link to non-canonical /mutual-funds, /loan etc.).</t>
  </si>
  <si>
    <t xml:space="preserve">Services - Mutual Funds, Insurance, Fixed Deposits &amp; Loans | Stockstrail</t>
  </si>
  <si>
    <t xml:space="preserve">Explore our comprehensive financial services including Mutual Funds, Fixed Deposits, Insurance, and Loans. Expert guidance tailored to your needs.</t>
  </si>
  <si>
    <t xml:space="preserve">Let's Talk (Consultation)</t>
  </si>
  <si>
    <t xml:space="preserve">https://www.stockstrail.in/lets-talk</t>
  </si>
  <si>
    <t xml:space="preserve">Contact Stockstrail | Book a Free Financial Planning Call</t>
  </si>
  <si>
    <t xml:space="preserve">Talk to Stockstrail about SIPs, insurance, FDs or loans. Book a free strategy call or message us on WhatsApp, Mon-Sat 9 AM-8 PM IST. No sales pressure.</t>
  </si>
  <si>
    <t xml:space="preserve">contact Stockstrail; free financial planning call</t>
  </si>
  <si>
    <t xml:space="preserve">book financial consultation; Stockstrail phone WhatsApp; financial planner Himachal Pradesh</t>
  </si>
  <si>
    <t xml:space="preserve">Navigational / Lead-gen</t>
  </si>
  <si>
    <t xml:space="preserve">Navigational 'contact' intent + transactional CTA. Add ContactPage schema; keep name, address (Moien, Chintpurni, HP 177110), phone and hours identical to your Google Business Profile.</t>
  </si>
  <si>
    <t xml:space="preserve">Let's Talk - Connect With Stockstrail Financial Experts</t>
  </si>
  <si>
    <t xml:space="preserve">Have questions or need assistance? Reach out to Stockstrail's financial experts today for guidance on mutual funds, insurance, and more.</t>
  </si>
  <si>
    <t xml:space="preserve">Services</t>
  </si>
  <si>
    <t xml:space="preserve">Mutual Funds Advisory</t>
  </si>
  <si>
    <t xml:space="preserve">https://www.stockstrail.in/services/mutual-funds</t>
  </si>
  <si>
    <t xml:space="preserve">Mutual Fund SIP &amp; Lumpsum Investment in India | Stockstrail</t>
  </si>
  <si>
    <t xml:space="preserve">Start a mutual fund SIP or lumpsum with Stockstrail (AMFI ARN-284122). Compare equity, debt and hybrid funds, check your risk profile and book a free call.</t>
  </si>
  <si>
    <t xml:space="preserve">mutual fund investment India</t>
  </si>
  <si>
    <t xml:space="preserve">SIP and lumpsum investment; equity debt hybrid funds; how to invest in mutual funds; mutual fund distributor</t>
  </si>
  <si>
    <t xml:space="preserve">Commercial</t>
  </si>
  <si>
    <t xml:space="preserve">LIVE &lt;title&gt; renders 'Stockstrail | Stockstrail' (brand twice): fix the title template (F1). Dropped 'Best' (superlative; AMFI/SEBI advertising code) and 'Advisory'. Page links to the noindex /risk-profile in places: link /check-risk-profile instead.</t>
  </si>
  <si>
    <t xml:space="preserve">Mutual Funds India: Best SIP &amp; Lumpsum Investment Advisory | Stockstrail</t>
  </si>
  <si>
    <t xml:space="preserve">Start disciplined mutual fund investing with Stockstrail (AMFI ARN-284122). Compare SIP vs lumpsum options, equity and debt fund categories, and get personalized wealth guidance.</t>
  </si>
  <si>
    <t xml:space="preserve">Insurance Planning</t>
  </si>
  <si>
    <t xml:space="preserve">https://www.stockstrail.in/services/insurance</t>
  </si>
  <si>
    <t xml:space="preserve">Compare Term &amp; Health Insurance in India | Stockstrail</t>
  </si>
  <si>
    <t xml:space="preserve">Compare term life and health insurance in India: claim settlement ratio, cover amount, cashless hospitals and riders. Get a free policy review from Stockstrail.</t>
  </si>
  <si>
    <t xml:space="preserve">term insurance India</t>
  </si>
  <si>
    <t xml:space="preserve">health insurance comparison; term vs health insurance; claim settlement ratio; critical illness rider</t>
  </si>
  <si>
    <t xml:space="preserve">Commercial / Comparison</t>
  </si>
  <si>
    <t xml:space="preserve">Removed '99%+ claim settlement' from meta: the figure varies by insurer and year; use it only if the page cites IRDAI data. Your AMFI ARN does not cover insurance: show your IRDAI licence / POSP / agency disclosure on this page (F8).</t>
  </si>
  <si>
    <t xml:space="preserve">Term &amp; Health Insurance in India: Plans &amp; Comparison | Stockstrail</t>
  </si>
  <si>
    <t xml:space="preserve">Protect your family with top Term Life and Health Insurance plans in India. Compare 99%+ claim settlement ratios, cashless network hospitals, critical illness riders, and get expert advisory from Stockstrail.</t>
  </si>
  <si>
    <t xml:space="preserve">Fixed Deposits</t>
  </si>
  <si>
    <t xml:space="preserve">https://www.stockstrail.in/services/fixed-deposit</t>
  </si>
  <si>
    <t xml:space="preserve">Fixed Deposit Guide 2026: Types, Rates &amp; Tax | Stockstrail</t>
  </si>
  <si>
    <t xml:space="preserve">Understand fixed deposits in India: bank vs corporate FDs, senior citizen rates, TDS, tax rules and FD laddering. Calculate returns, then talk to Stockstrail.</t>
  </si>
  <si>
    <t xml:space="preserve">fixed deposit guide</t>
  </si>
  <si>
    <t xml:space="preserve">FD interest rates 2026; bank FD vs corporate FD; senior citizen FD; FD tax TDS; FD laddering</t>
  </si>
  <si>
    <t xml:space="preserve">Informational + Commercial</t>
  </si>
  <si>
    <t xml:space="preserve">Year in title lifts CTR on rate queries: refresh every January. Rate claims differ across your pages (About: 'up to 7.5%'; SIP page: 'up to 9.1%'): make one dated, sourced figure (F12).</t>
  </si>
  <si>
    <t xml:space="preserve">Fixed Deposit (FD) Guide 2026: Types, Interest Rates &amp; Tax Rules | Stockstrail</t>
  </si>
  <si>
    <t xml:space="preserve">Complete guide to Fixed Deposits in India. Explore types of fixed deposits, Bank vs Corporate FD interest rates, senior citizen benefits, tax rules, and calculation.</t>
  </si>
  <si>
    <t xml:space="preserve">Loan Against Mutual Funds (LAMF)</t>
  </si>
  <si>
    <t xml:space="preserve">https://www.stockstrail.in/services/loan</t>
  </si>
  <si>
    <t xml:space="preserve">Loan Against Mutual Funds (LAMF) Rates &amp; Apply | Stockstrail</t>
  </si>
  <si>
    <t xml:space="preserve">Borrow against your mutual funds without selling them. Check LAMF interest rates, loan-to-value, eligibility and how to apply with Stockstrail (ARN-284122).</t>
  </si>
  <si>
    <t xml:space="preserve">loan against mutual funds</t>
  </si>
  <si>
    <t xml:space="preserve">LAMF interest rate; loan against mutual funds eligibility; LAMF vs personal loan; how to apply</t>
  </si>
  <si>
    <t xml:space="preserve">Timely: RBI issued new LAMF rules on 13 Feb 2026 (₹1 crore cap effective July 2026): add a 'What changed in 2026' section. Meta avoids a fixed rate: market range is roughly 8-13% p.a. and your pages quote 9% (meta) and 9.5% (SIP page).</t>
  </si>
  <si>
    <t xml:space="preserve">Loan Against Mutual Funds (LAMF) &amp; Business Loans in India | Stockstrail</t>
  </si>
  <si>
    <t xml:space="preserve">Get instant Loan Against Mutual Funds (LAMF) without selling your investments. Compare low interest rates starting from 9%, zero foreclosure charges, and quick approval with Stockstrail.</t>
  </si>
  <si>
    <t xml:space="preserve">Financial Protection</t>
  </si>
  <si>
    <t xml:space="preserve">https://www.stockstrail.in/services/financial-protection</t>
  </si>
  <si>
    <t xml:space="preserve">Financial Protection Planning for Families | Stockstrail</t>
  </si>
  <si>
    <t xml:space="preserve">Build a family safety net: term and health insurance, emergency fund, motor and travel cover and tax-filing support. Start with a free Stockstrail review.</t>
  </si>
  <si>
    <t xml:space="preserve">financial protection plan</t>
  </si>
  <si>
    <t xml:space="preserve">family financial protection; emergency fund planning; motor insurance; travel insurance; tax filing support</t>
  </si>
  <si>
    <t xml:space="preserve">P2</t>
  </si>
  <si>
    <t xml:space="preserve">Overlaps with /services/insurance. Keep this as the umbrella page (emergency fund, motor/travel, tax filing) and cross-link both ways to avoid cannibalisation.</t>
  </si>
  <si>
    <t xml:space="preserve">Financial Protection &amp; Insurance Planning | Stockstrail</t>
  </si>
  <si>
    <t xml:space="preserve">Understand and plan your financial protection with Stockstrail. Explore insurance, emergency savings, motor and travel insurance, tax filing support and financial solutions based on your needs.</t>
  </si>
  <si>
    <t xml:space="preserve">Open Demat Account</t>
  </si>
  <si>
    <t xml:space="preserve">https://www.stockstrail.in/services/open-demat</t>
  </si>
  <si>
    <t xml:space="preserve">Open Demat &amp; Trading Account Online in India | Stockstrail</t>
  </si>
  <si>
    <t xml:space="preserve">Open a paperless Demat and trading account online with leading brokers. Learn the KYC steps, documents and charges, then get step-by-step help from Stockstrail.</t>
  </si>
  <si>
    <t xml:space="preserve">open demat account online</t>
  </si>
  <si>
    <t xml:space="preserve">demat account documents; demat account charges; zero AMC demat account; trading account opening</t>
  </si>
  <si>
    <t xml:space="preserve">Commercial / Transactional</t>
  </si>
  <si>
    <t xml:space="preserve">'Open demat account' head term is owned by brokers (Zerodha, Groww, Angel One): win with specifics (documents, charges, NRI/minor accounts, Himachal). Drop 'India's top brokers' (superlative). Disclose your partner/referral status with each broker (F8).</t>
  </si>
  <si>
    <t xml:space="preserve">Open Demat Account - Start Stock Market Investing | Stockstrail</t>
  </si>
  <si>
    <t xml:space="preserve">Open a free Demat account with Stockstrail. Trade stocks, mutual funds, IPOs, and more with India's top brokers. Zero account opening charges, seamless KYC, and expert guidance.</t>
  </si>
  <si>
    <t xml:space="preserve">Calculators</t>
  </si>
  <si>
    <t xml:space="preserve">Calculators Hub</t>
  </si>
  <si>
    <t xml:space="preserve">https://www.stockstrail.in/calculators</t>
  </si>
  <si>
    <t xml:space="preserve">Free Financial Calculators: SIP, FD, EMI &amp; Tax | Stockstrail</t>
  </si>
  <si>
    <t xml:space="preserve">Use Stockstrail's free calculators for SIP, lumpsum, FD, RD, loan EMI and income tax FY 2026-27. Instant results, no login. Plan goals with realistic numbers.</t>
  </si>
  <si>
    <t xml:space="preserve">financial calculators India</t>
  </si>
  <si>
    <t xml:space="preserve">SIP lumpsum FD RD EMI tax calculator; free investment calculators</t>
  </si>
  <si>
    <t xml:space="preserve">Tool / Navigational</t>
  </si>
  <si>
    <t xml:space="preserve">Removed 'institutional-grade' (unverifiable). Roadmap: SWP, PPF, NPS, retirement, goal and CAGR calculators are high-demand gaps (see Keyword Map).</t>
  </si>
  <si>
    <t xml:space="preserve">Financial Calculators - SIP, Lumpsum, FD, RD, EMI &amp; Tax | Stockstrail</t>
  </si>
  <si>
    <t xml:space="preserve">Free institutional-grade financial calculators for Indian investors. Calculate Mutual Fund SIP returns, Lumpsum wealth, Fixed Deposit interest, RD maturity, Loan EMI, and Income Tax liability.</t>
  </si>
  <si>
    <t xml:space="preserve">SIP Calculator</t>
  </si>
  <si>
    <t xml:space="preserve">https://www.stockstrail.in/calculators/sip</t>
  </si>
  <si>
    <t xml:space="preserve">SIP Calculator with Step-Up: Estimate Returns | Stockstrail</t>
  </si>
  <si>
    <t xml:space="preserve">Free SIP calculator with step-up option. See how a monthly mutual fund SIP could grow with compounding, view the year-wise schedule and plan goals. No login.</t>
  </si>
  <si>
    <t xml:space="preserve">SIP calculator</t>
  </si>
  <si>
    <t xml:space="preserve">step up SIP calculator; SIP return calculator; mutual fund SIP calculator; SIP calculator with inflation</t>
  </si>
  <si>
    <t xml:space="preserve">Tool</t>
  </si>
  <si>
    <t xml:space="preserve">LIVE &lt;title&gt; duplicates the brand ('| Stockstrail | Stockstrail'). Your page already has Step-Up, so 'step up SIP calculator' (strong mid-tail) is a legitimate target. Add an inflation-adjusted toggle to also capture 'SIP calculator with inflation'. Add WebApplication schema and an 'estimates, not guaranteed' note. 'SIP calculator' head term is dominated by Groww/ET Money/AMCs: win the long-tail first.</t>
  </si>
  <si>
    <t xml:space="preserve">SIP Calculator - Calculate Mutual Fund SIP Returns Online | Stockstrail</t>
  </si>
  <si>
    <t xml:space="preserve">Estimate your Systematic Investment Plan (SIP) returns with Stockstrail's free SIP calculator. Plan your wealth creation with accurate compound interest projections.</t>
  </si>
  <si>
    <t xml:space="preserve">FD Calculator</t>
  </si>
  <si>
    <t xml:space="preserve">https://www.stockstrail.in/calculators/fd</t>
  </si>
  <si>
    <t xml:space="preserve">FD Calculator: Calculate Maturity &amp; Interest | Stockstrail</t>
  </si>
  <si>
    <t xml:space="preserve">Calculate FD maturity amount and interest with monthly, quarterly or yearly compounding. Compare bank and corporate FD returns instantly. Free, no login.</t>
  </si>
  <si>
    <t xml:space="preserve">FD calculator</t>
  </si>
  <si>
    <t xml:space="preserve">fixed deposit calculator; FD maturity calculator; FD interest calculator; cumulative FD calculator</t>
  </si>
  <si>
    <t xml:space="preserve">Confirm the calculator really offers monthly/quarterly/yearly compounding before shipping this description.</t>
  </si>
  <si>
    <t xml:space="preserve">Fixed Deposit (FD) Calculator - Calculate FD Maturity &amp; Interest | Stockstrail</t>
  </si>
  <si>
    <t xml:space="preserve">Calculate your Fixed Deposit (FD) interest earnings and maturity amount accurately with compounding options. Compare bank and corporate FD returns.</t>
  </si>
  <si>
    <t xml:space="preserve">Lumpsum Calculator</t>
  </si>
  <si>
    <t xml:space="preserve">https://www.stockstrail.in/calculators/lumpsum</t>
  </si>
  <si>
    <t xml:space="preserve">Lumpsum Calculator: Mutual Fund Returns | Stockstrail</t>
  </si>
  <si>
    <t xml:space="preserve">Estimate the future value of a one-time mutual fund lumpsum investment. Enter amount, expected return and years to see growth. Free, no login.</t>
  </si>
  <si>
    <t xml:space="preserve">lumpsum calculator</t>
  </si>
  <si>
    <t xml:space="preserve">lumpsum investment calculator; one time mutual fund calculator; SIP vs lumpsum calculator</t>
  </si>
  <si>
    <t xml:space="preserve">Add a 'compare with SIP' panel: it targets the 'SIP vs lumpsum' cluster and links the two calculators.</t>
  </si>
  <si>
    <t xml:space="preserve">Lumpsum Calculator - Calculate One-Time Mutual Fund Returns | Stockstrail</t>
  </si>
  <si>
    <t xml:space="preserve">Estimate the future value of your one-time lumpsum mutual fund investment with Stockstrail's free lumpsum return calculator.</t>
  </si>
  <si>
    <t xml:space="preserve">RD Calculator</t>
  </si>
  <si>
    <t xml:space="preserve">https://www.stockstrail.in/calculators/rd</t>
  </si>
  <si>
    <t xml:space="preserve">RD Calculator: Recurring Deposit Maturity | Stockstrail</t>
  </si>
  <si>
    <t xml:space="preserve">Calculate recurring deposit (RD) maturity amount and interest earned on your monthly deposits. Plan savings goals with Stockstrail's free RD calculator.</t>
  </si>
  <si>
    <t xml:space="preserve">RD calculator</t>
  </si>
  <si>
    <t xml:space="preserve">recurring deposit calculator; RD maturity calculator; RD interest calculator</t>
  </si>
  <si>
    <t xml:space="preserve">Old meta said 'monthly compounding'; most Indian bank RDs compound quarterly. Check your calculator logic matches how banks actually compute.</t>
  </si>
  <si>
    <t xml:space="preserve">Recurring Deposit (RD) Calculator - Calculate RD Maturity Online | Stockstrail</t>
  </si>
  <si>
    <t xml:space="preserve">Calculate your Recurring Deposit (RD) maturity amount and interest earned with monthly compounding using Stockstrail's RD calculator.</t>
  </si>
  <si>
    <t xml:space="preserve">Loan EMI Calculator</t>
  </si>
  <si>
    <t xml:space="preserve">https://www.stockstrail.in/calculators/emi</t>
  </si>
  <si>
    <t xml:space="preserve">Loan EMI Calculator: Home, Car &amp; Personal Loan | Stockstrail</t>
  </si>
  <si>
    <t xml:space="preserve">Calculate monthly loan EMI, total interest and the amortization schedule for home, car, personal and business loans. Free EMI calculator by Stockstrail.</t>
  </si>
  <si>
    <t xml:space="preserve">EMI calculator</t>
  </si>
  <si>
    <t xml:space="preserve">loan EMI calculator; home loan EMI calculator; personal loan EMI; amortization schedule</t>
  </si>
  <si>
    <t xml:space="preserve">Very high demand but dominated by banks and aggregators; pair with the learning lesson 'How EMI works' for long-tail traffic.</t>
  </si>
  <si>
    <t xml:space="preserve">Loan EMI Calculator - Home, Car, Business &amp; Personal Loans | Stockstrail</t>
  </si>
  <si>
    <t xml:space="preserve">Calculate your monthly loan EMI, total interest payable, and amortization schedule for home loans, business loans, and loans against mutual funds.</t>
  </si>
  <si>
    <t xml:space="preserve">Income Tax Calculator</t>
  </si>
  <si>
    <t xml:space="preserve">https://www.stockstrail.in/calculators/tax</t>
  </si>
  <si>
    <t xml:space="preserve">Income Tax Calculator FY 2026-27 (Old vs New) | Stockstrail</t>
  </si>
  <si>
    <t xml:space="preserve">Compare old vs new tax regime for FY 2026-27 (AY 2027-28). Check slabs, standard deduction, 87A rebate and HRA exemption, and see which regime saves more tax.</t>
  </si>
  <si>
    <t xml:space="preserve">income tax calculator FY 2026-27</t>
  </si>
  <si>
    <t xml:space="preserve">old vs new tax regime calculator; new tax regime slabs 2026-27; 87A rebate; HRA exemption calculator</t>
  </si>
  <si>
    <t xml:space="preserve">Old meta cited Budget 2024/2025 slabs. Budget 2026 (1 Feb 2026) left slabs unchanged for FY 2026-27 and the new regime still makes income up to ₹12 lakh effectively tax-free via the 87A rebate. The Income-tax Act 2025 replaces the 1961 Act from 1 Apr 2026: many section numbers (87A, 80C) are being re-mapped, so verify before quoting them. Seasonal peak Jan-Jul.</t>
  </si>
  <si>
    <t xml:space="preserve">Income Tax Calculator FY 2025-26 &amp; 2026-27 - Old vs New Regime | Stockstrail</t>
  </si>
  <si>
    <t xml:space="preserve">Compare Old vs New Tax Regime under Budget 2024 and 2025 slabs. Calculate tax liability, 87A rebate, standard deduction, and HRA exemption.</t>
  </si>
  <si>
    <t xml:space="preserve">Market Tools</t>
  </si>
  <si>
    <t xml:space="preserve">NSE Holidays 2026</t>
  </si>
  <si>
    <t xml:space="preserve">https://www.stockstrail.in/nse-holidays</t>
  </si>
  <si>
    <t xml:space="preserve">NSE Holidays 2026: Is Share Market Open Today? | Stockstrail</t>
  </si>
  <si>
    <t xml:space="preserve">NSE and BSE holiday list 2026 with live market status: 15 trading holidays, Muhurat Trading on Sunday 8 Nov, MCX timings and upcoming market closures.</t>
  </si>
  <si>
    <t xml:space="preserve">NSE holidays 2026</t>
  </si>
  <si>
    <t xml:space="preserve">is share market open today; stock market holidays 2026; muhurat trading 2026; MCX timings</t>
  </si>
  <si>
    <t xml:space="preserve">Informational (daily recurring)</t>
  </si>
  <si>
    <t xml:space="preserve">Verified: 15 weekday trading holidays in 2026 (equity); Muhurat Trading is Sunday 8 Nov 2026 per NSE circular, timings to be announced. Seasonal: after 8 Nov change to 'NSE Holidays 2026 &amp; 2027'; publish the 2027 list when NSE releases it (usually mid/late Dec). Remaining 2026 closures after today: 20 Oct, 10 Nov, 24 Nov, 25 Dec.</t>
  </si>
  <si>
    <t xml:space="preserve">NSE Holidays 2026: Is Share Market Open Today? Holiday Calendar | Stockstrail</t>
  </si>
  <si>
    <t xml:space="preserve">Check if Indian stock market is open today. Complete NSE &amp; BSE Holiday Calendar 2026 with 15 official trading closures, live market status, MCX timings, and Muhurat trading.</t>
  </si>
  <si>
    <t xml:space="preserve">BSE Holidays 2026</t>
  </si>
  <si>
    <t xml:space="preserve">https://www.stockstrail.in/bse-holidays</t>
  </si>
  <si>
    <t xml:space="preserve">BSE Holidays 2026: Stock Market Holiday List | Stockstrail</t>
  </si>
  <si>
    <t xml:space="preserve">Full BSE holiday list 2026 for equity, derivatives and commodity sessions, plus settlement holidays, upcoming closures and the Diwali Muhurat Trading date.</t>
  </si>
  <si>
    <t xml:space="preserve">BSE holidays 2026</t>
  </si>
  <si>
    <t xml:space="preserve">BSE holiday list; Bombay Stock Exchange holidays 2026; settlement holidays 2026</t>
  </si>
  <si>
    <t xml:space="preserve">Informational</t>
  </si>
  <si>
    <t xml:space="preserve">Cross-link to /nse-holidays. NSE and BSE share the equity holiday calendar: add a one-line 'same as NSE' answer-first sentence for AI Overviews. Do not say 'Official' unless it is copied from the BSE circular.</t>
  </si>
  <si>
    <t xml:space="preserve">BSE Holiday Calendar 2026: Bombay Stock Exchange Trading Holiday List | Stockstrail</t>
  </si>
  <si>
    <t xml:space="preserve">Official BSE Holiday List 2026. Explore Bombay Stock Exchange market holidays across Equities, Derivatives, Commodity split sessions, and settlement dates.</t>
  </si>
  <si>
    <t xml:space="preserve">Risk Profile Assessment</t>
  </si>
  <si>
    <t xml:space="preserve">https://www.stockstrail.in/check-risk-profile</t>
  </si>
  <si>
    <t xml:space="preserve">Investor Risk Profile Test: Free 2-Minute Quiz | Stockstrail</t>
  </si>
  <si>
    <t xml:space="preserve">Take Stockstrail's free 11-question risk profile quiz. Find your risk tolerance and get an indicative equity-debt mix for your SIPs and fixed deposits.</t>
  </si>
  <si>
    <t xml:space="preserve">investor risk profile test</t>
  </si>
  <si>
    <t xml:space="preserve">risk tolerance test; risk profile questionnaire mutual funds; what is my risk appetite</t>
  </si>
  <si>
    <t xml:space="preserve">Tool / Informational</t>
  </si>
  <si>
    <t xml:space="preserve">Removed 'SEBI-aligned' and 'recommendations': you are an AMFI distributor, not a SEBI-registered adviser. Keep 'indicative' wording and add a result-page disclaimer. Internal links elsewhere should point here, not to the noindex /risk-profile.</t>
  </si>
  <si>
    <t xml:space="preserve">Free Risk Profile Assessment - Discover Your Investment Comfort | Stockstrail</t>
  </si>
  <si>
    <t xml:space="preserve">Take our free 2-minute SEBI-aligned 11-question risk profiling quiz. Calculate your risk tolerance score and get personalized asset allocation recommendations for mutual funds and fixed deposits.</t>
  </si>
  <si>
    <t xml:space="preserve">Blog</t>
  </si>
  <si>
    <t xml:space="preserve">Blog Home</t>
  </si>
  <si>
    <t xml:space="preserve">https://www.stockstrail.in/blog</t>
  </si>
  <si>
    <t xml:space="preserve">Mutual Fund, SIP &amp; Personal Finance Blog | Stockstrail</t>
  </si>
  <si>
    <t xml:space="preserve">Plain-English guides on mutual funds, SIPs, insurance, tax and SEBI rules for Indian investors, written by Stockstrail's AMFI-registered team (ARN-284122).</t>
  </si>
  <si>
    <t xml:space="preserve">mutual fund blog India</t>
  </si>
  <si>
    <t xml:space="preserve">SIP guides; personal finance blog India; SEBI rules explained; investing for salaried</t>
  </si>
  <si>
    <t xml:space="preserve">Informational / Hub</t>
  </si>
  <si>
    <t xml:space="preserve">Live site serves an older blog title ('Financial Insights &amp; Investment Strategies Blog | Stockstrail | Stockstrail'): confirm deployment, and fix the duplicate brand. Add category filters (Mutual Funds / Tax / Insurance / Markets) as crawlable URLs and a visible 'Start here: Mutual Funds Guide' pillar link.</t>
  </si>
  <si>
    <t xml:space="preserve">Financial Insights, Mutual Funds &amp; Wealth Journal | Stockstrail</t>
  </si>
  <si>
    <t xml:space="preserve">Certified financial analysis, SEBI regulations, mutual fund strategies, and salaried wealth management from AMFI Registered experts (ARN-284122).</t>
  </si>
  <si>
    <t xml:space="preserve">Blog Post</t>
  </si>
  <si>
    <t xml:space="preserve">#1 GST cut &amp; Ayushman Bharat</t>
  </si>
  <si>
    <t xml:space="preserve">https://www.stockstrail.in/blog/2025-best-time-family-health-government-benefits</t>
  </si>
  <si>
    <t xml:space="preserve">Health Insurance GST Cut &amp; Ayushman Bharat | Stockstrail</t>
  </si>
  <si>
    <t xml:space="preserve">How the 2025 GST reform and Ayushman Bharat expansion made health insurance cheaper for Indian families, and the steps to review or buy your cover.</t>
  </si>
  <si>
    <t xml:space="preserve">health insurance GST cut</t>
  </si>
  <si>
    <t xml:space="preserve">Ayushman Bharat expansion; health insurance premium GST; family health cover India</t>
  </si>
  <si>
    <t xml:space="preserve">Informational / News</t>
  </si>
  <si>
    <t xml:space="preserve">Slug starts with '2025' and reads 'best-time...': it will look stale in 2027. Add 'Last updated' and refresh facts for 2026; consider a shorter slug with 301.</t>
  </si>
  <si>
    <t xml:space="preserve">New Govt Health Benefits 2025: Ayushman Bharat &amp; GST Cuts Explained | Stockstrail</t>
  </si>
  <si>
    <t xml:space="preserve">Learn how 2025's GST reforms and Ayushman Bharat expansion made health insurance cheaper and more accessible for Indian families and how to secure your cover today.</t>
  </si>
  <si>
    <t xml:space="preserve">#2 Lenskart IPO</t>
  </si>
  <si>
    <t xml:space="preserve">https://www.stockstrail.in/blog/lenskart-ipo-investor-guide</t>
  </si>
  <si>
    <t xml:space="preserve">Lenskart IPO: Risks &amp; Takeaways for Investors | Stockstrail</t>
  </si>
  <si>
    <t xml:space="preserve">Lenskart's ₹7,278 crore IPO explained: what happened, valuation and other risks, and what retail investors should weigh now. Educational, not a recommendation.</t>
  </si>
  <si>
    <t xml:space="preserve">Lenskart IPO</t>
  </si>
  <si>
    <t xml:space="preserve">Lenskart IPO review; Lenskart IPO risks; retail investor IPO guide</t>
  </si>
  <si>
    <t xml:space="preserve">P3</t>
  </si>
  <si>
    <t xml:space="preserve">News-driven: traffic decays. Add a 'what happened after listing' update to keep it useful, and keep the 'not a recommendation' disclaimer (you are not a SEBI research analyst).</t>
  </si>
  <si>
    <t xml:space="preserve">Lenskart IPO Explained: Should Investors Still Be Interested? | Stockstrail</t>
  </si>
  <si>
    <t xml:space="preserve">Lenskart's IPO made headlines with a ₹7,278 crore issue and a star-studded investor list. We break down what happened, the risks, and what it means for retail investors.</t>
  </si>
  <si>
    <t xml:space="preserve">#3 Small-cap correction</t>
  </si>
  <si>
    <t xml:space="preserve">https://www.stockstrail.in/blog/small-cap-correction-real-portfolio-damage</t>
  </si>
  <si>
    <t xml:space="preserve">Small-Cap Correction Explained: Portfolio Risk | Stockstrail</t>
  </si>
  <si>
    <t xml:space="preserve">Small-cap stocks fell sharply while the Nifty 50 stayed near highs. Why the real damage is investor behaviour, and how to protect your portfolio and SIPs.</t>
  </si>
  <si>
    <t xml:space="preserve">small cap correction</t>
  </si>
  <si>
    <t xml:space="preserve">small cap fall SIP; small cap mutual funds risk; Nifty vs small cap</t>
  </si>
  <si>
    <t xml:space="preserve">Time-bound: add the date range of the correction in the first paragraph and a 'Last updated' stamp.</t>
  </si>
  <si>
    <t xml:space="preserve">Small Cap Correction Explained: The Hidden Risk to Your Portfolio | Stockstrail</t>
  </si>
  <si>
    <t xml:space="preserve">Small-cap stocks fell sharply while Nifty 50 stayed near highs. Here's why the real damage from this correction isn't in the index — it's in undisciplined investor behaviour.</t>
  </si>
  <si>
    <t xml:space="preserve">#4 Mutual fund FAQs</t>
  </si>
  <si>
    <t xml:space="preserve">https://www.stockstrail.in/blog/final-answers-mutual-fund-faqs-25-beginner-questions-answered-stockstrail</t>
  </si>
  <si>
    <t xml:space="preserve">Mutual Fund FAQs: 25+ Beginner Questions | Stockstrail</t>
  </si>
  <si>
    <t xml:space="preserve">Can you lose money in mutual funds? What is NAV? Direct or Regular plan? Clear answers to 25+ beginner mutual fund questions from Stockstrail (ARN-284122).</t>
  </si>
  <si>
    <t xml:space="preserve">mutual fund FAQs</t>
  </si>
  <si>
    <t xml:space="preserve">mutual fund questions for beginners; can you lose money in mutual funds; what is NAV</t>
  </si>
  <si>
    <t xml:space="preserve">Informational (AEO magnet)</t>
  </si>
  <si>
    <t xml:space="preserve">Best AEO candidate on the site: each Q&amp;A should open with a 40-60 word direct answer. The slug ('final-answers-...-stockstrail') and the on-page title ('Final Answers...') are weak: rename to 'Mutual Fund FAQs' and 301 the slug.</t>
  </si>
  <si>
    <t xml:space="preserve">Mutual Fund FAQs: 25+ Beginners Questions Answered by Stockstrail</t>
  </si>
  <si>
    <t xml:space="preserve">Can you lose money in mutual funds? What is NAV? Should you choose Direct or Regular plans? Stockstrail answers every beginner's mutual fund question in one place.</t>
  </si>
  <si>
    <t xml:space="preserve">#5 Types of mutual funds (Ch.4)</t>
  </si>
  <si>
    <t xml:space="preserve">https://www.stockstrail.in/blog/types-of-mutual-funds-in-india-explained-2026-guide-stockstrail</t>
  </si>
  <si>
    <t xml:space="preserve">Types of Mutual Funds in India (2026 Guide) | Stockstrail</t>
  </si>
  <si>
    <t xml:space="preserve">Understand equity, debt, hybrid, index, ELSS and sectoral mutual funds in plain English: how each type works, its risk level and who it suits.</t>
  </si>
  <si>
    <t xml:space="preserve">types of mutual funds in India</t>
  </si>
  <si>
    <t xml:space="preserve">equity debt hybrid funds; ELSS; index funds; sectoral funds explained</t>
  </si>
  <si>
    <t xml:space="preserve">URGENT: the current &lt;title&gt; is a raw slug ('Stockstrail-Mutual-Funds-Chapter-4'). This is a high-volume topic: also link it from /services/mutual-funds.</t>
  </si>
  <si>
    <t xml:space="preserve">Stockstrail-Mutual-Funds-Chapter-4 | Stockstrail</t>
  </si>
  <si>
    <t xml:space="preserve">Confused by the types of mutual funds in India? Stockstrail breaks down equity, debt, hybrid, index, ELSS and sectoral funds in simple, plain-English terms.</t>
  </si>
  <si>
    <t xml:space="preserve">#6 India VIX</t>
  </si>
  <si>
    <t xml:space="preserve">https://www.stockstrail.in/blog/what-is-india-vix-why-stockstrail-track-it-every-single-day</t>
  </si>
  <si>
    <t xml:space="preserve">What Is India VIX? How Investors Use It | Stockstrail</t>
  </si>
  <si>
    <t xml:space="preserve">India VIX measures expected market volatility. Learn how to read it, common mistakes to avoid, and how it can guide your SIP and mutual fund decisions.</t>
  </si>
  <si>
    <t xml:space="preserve">what is India VIX</t>
  </si>
  <si>
    <t xml:space="preserve">India VIX meaning; VIX today; India VIX and SIP; market volatility index</t>
  </si>
  <si>
    <t xml:space="preserve">Slug contains 'why-stockstrail-track-it-every-single-day' (brand stuffing, 41 characters). Shorten to /blog/what-is-india-vix with 301. A live VIX value widget would add repeat traffic.</t>
  </si>
  <si>
    <t xml:space="preserve">What is India VIX? Why Traders Track It | Stockstrail</t>
  </si>
  <si>
    <t xml:space="preserve">Learn what India VIX means, why traders track it daily, common mistakes to avoid, and how Stockstrail uses it to guide mutual fund and SIP investments.</t>
  </si>
  <si>
    <t xml:space="preserve">#7 Term vs life insurance</t>
  </si>
  <si>
    <t xml:space="preserve">https://www.stockstrail.in/blog/term-insurance-vs-life-insurance-india-2026-which-one-truly-protects-your-family-stockstrail</t>
  </si>
  <si>
    <t xml:space="preserve">Term vs Life Insurance in India (2026) | Stockstrail</t>
  </si>
  <si>
    <t xml:space="preserve">Term insurance or life insurance: which protects your family better? Compare premium, cover, tax rules and claim settlement ratio, then book a free review.</t>
  </si>
  <si>
    <t xml:space="preserve">term insurance vs life insurance</t>
  </si>
  <si>
    <t xml:space="preserve">term vs endowment; term vs ULIP; best term insurance salaried; claim settlement ratio</t>
  </si>
  <si>
    <t xml:space="preserve">Informational / Commercial</t>
  </si>
  <si>
    <t xml:space="preserve">Old title was 85+ chars and truncated in Google. High-volume comparison: use a comparison table (answer-first) so AI Overviews can lift it. Slug is 90+ chars: shorten with 301.</t>
  </si>
  <si>
    <t xml:space="preserve">Term Insurance vs Life Insurance India 2026: Which One Truly Protects Your Family? Stockstrail</t>
  </si>
  <si>
    <t xml:space="preserve">Term insurance or life insurance — which actually protects your family in 2026? Compare premiums, cover, tax rules &amp; CSR data, then book a free advisor call.</t>
  </si>
  <si>
    <t xml:space="preserve">#8 Are mutual funds safe (Ch.3)</t>
  </si>
  <si>
    <t xml:space="preserve">https://www.stockstrail.in/blog/chapter3-are-mutual-funds-safe-understanding-mutual-fund-risk-in-india</t>
  </si>
  <si>
    <t xml:space="preserve">Are Mutual Funds Safe in India? Key Risks | Stockstrail</t>
  </si>
  <si>
    <t xml:space="preserve">Are mutual funds safe? Learn about market risk and volatility in Indian mutual funds, and how to manage them without fear or panic. Plain-English guide.</t>
  </si>
  <si>
    <t xml:space="preserve">are mutual funds safe</t>
  </si>
  <si>
    <t xml:space="preserve">mutual fund risk India; can you lose money in mutual funds; market risk; volatility</t>
  </si>
  <si>
    <t xml:space="preserve">Strong question-style keyword. Open the article with a 2-sentence direct answer, then the detail.</t>
  </si>
  <si>
    <t xml:space="preserve">Are Mutual Funds Safe in India? Mutual Fund Risk Explained | Stockstrail</t>
  </si>
  <si>
    <t xml:space="preserve">Are mutual funds safe? Stockstrail explains market risk, volatility, and how to manage mutual fund risk in India without fear or panic.</t>
  </si>
  <si>
    <t xml:space="preserve">#9 20 mistakes (Ch.9)</t>
  </si>
  <si>
    <t xml:space="preserve">https://www.stockstrail.in/blog/chapter-9-20-biggest-mutual-fund-mistakes-investors-make-stockstrail</t>
  </si>
  <si>
    <t xml:space="preserve">20 Biggest Mutual Fund Mistakes to Avoid | Stockstrail</t>
  </si>
  <si>
    <t xml:space="preserve">Most investors don't fail because of bad funds, they fail because of behaviour. See the 20 biggest mutual fund mistakes and how to avoid each one.</t>
  </si>
  <si>
    <t xml:space="preserve">mutual fund mistakes</t>
  </si>
  <si>
    <t xml:space="preserve">common mutual fund mistakes; SIP mistakes; investing mistakes India</t>
  </si>
  <si>
    <t xml:space="preserve">Remove 'Chapter 9' from the on-page title: chapter numbers do not help searchers. Keep the series via a pillar page (F14).</t>
  </si>
  <si>
    <t xml:space="preserve">20 Biggest Mutual Fund Mistakes Investors Make | Stockstrail</t>
  </si>
  <si>
    <t xml:space="preserve">Most mutual fund investors don't fail because of bad funds — they fail because of behaviour. Stockstrail lists the 20 biggest mistakes and how to avoid them.</t>
  </si>
  <si>
    <t xml:space="preserve">#10 Returns (Ch.7)</t>
  </si>
  <si>
    <t xml:space="preserve">https://www.stockstrail.in/blog/chapter-7-how-much-return-can-you-expect-from-mutual-funds-stockstrail</t>
  </si>
  <si>
    <t xml:space="preserve">How Much Return Do Mutual Funds Give? | Stockstrail</t>
  </si>
  <si>
    <t xml:space="preserve">Mutual funds can't guarantee returns. Learn what is realistic, how compounding and market cycles work, and why time in the market beats timing it.</t>
  </si>
  <si>
    <t xml:space="preserve">mutual fund returns</t>
  </si>
  <si>
    <t xml:space="preserve">average return mutual funds India; SIP return expectation; realistic mutual fund returns</t>
  </si>
  <si>
    <t xml:space="preserve">Never publish a return % in meta without a dated source and a disclaimer: keep it qualitative. Link to /calculators/sip.</t>
  </si>
  <si>
    <t xml:space="preserve">How Much Return Can You Expect From Mutual Funds? | Stockstrail</t>
  </si>
  <si>
    <t xml:space="preserve">Mutual funds don't guarantee returns — so what can you realistically expect? Stockstrail explains compounding, market cycles, and long-term wealth creation.</t>
  </si>
  <si>
    <t xml:space="preserve">#11 How MFs work (Ch.2)</t>
  </si>
  <si>
    <t xml:space="preserve">https://www.stockstrail.in/blog/chapter-2-how-mutual-funds-actually-work-in-india-a-behind-the-scenes-guide</t>
  </si>
  <si>
    <t xml:space="preserve">How Mutual Funds Work in India: NAV &amp; Units | Stockstrail</t>
  </si>
  <si>
    <t xml:space="preserve">See how mutual funds work behind the scenes in India: fund managers, NAV, units and regulation, explained simply for new investors.</t>
  </si>
  <si>
    <t xml:space="preserve">how mutual funds work</t>
  </si>
  <si>
    <t xml:space="preserve">what is NAV; mutual fund units; fund manager role; mutual fund regulation SEBI</t>
  </si>
  <si>
    <t xml:space="preserve">Pair with the learning lesson 'What is a mutual fund' via a 'Free course' link to build the cluster.</t>
  </si>
  <si>
    <t xml:space="preserve">How Mutual Funds Work in India | NAV, Fund Managers Explained | Stockstrail</t>
  </si>
  <si>
    <t xml:space="preserve">Curious how mutual funds work behind the scenes? Stockstrail explains fund managers, NAV, units, and regulation in simple terms for Indian investors.</t>
  </si>
  <si>
    <t xml:space="preserve">#12 How to invest (Ch.1)</t>
  </si>
  <si>
    <t xml:space="preserve">https://www.stockstrail.in/blog/how-to-invest-in-mutual-funds-in-india-the-complete-beginner-s-guide-2026</t>
  </si>
  <si>
    <t xml:space="preserve">How to Invest in Mutual Funds in India (2026) | Stockstrail</t>
  </si>
  <si>
    <t xml:space="preserve">New to investing? Learn how to start investing in mutual funds in India in 2026: KYC, choosing a fund, SIP or lumpsum, and avoiding beginner mistakes.</t>
  </si>
  <si>
    <t xml:space="preserve">how to invest in mutual funds</t>
  </si>
  <si>
    <t xml:space="preserve">start mutual fund investing; mutual fund KYC; SIP for beginners; mutual funds for beginners India</t>
  </si>
  <si>
    <t xml:space="preserve">Highest-volume blog topic you own. Make this the flagship of the pillar page and link to /services/mutual-funds with a clear CTA. Slug has 'beginner-s' (stray hyphen).</t>
  </si>
  <si>
    <t xml:space="preserve">How to Invest in Mutual Funds in India (2026) | Beginner's Guide | Stockstrail</t>
  </si>
  <si>
    <t xml:space="preserve">New to investing? Learn how to invest in mutual funds in India with this beginner-friendly 2026 guide by Stockstrail — simple, practical, and jargon-free.</t>
  </si>
  <si>
    <t xml:space="preserve">#13 Choose a fund (Ch.6)</t>
  </si>
  <si>
    <t xml:space="preserve">https://www.stockstrail.in/blog/chapter-6-how-to-choose-the-right-mutual-fund-in-india-2026-guide-stockstrail</t>
  </si>
  <si>
    <t xml:space="preserve">How to Choose a Mutual Fund: 10-Step Guide | Stockstrail</t>
  </si>
  <si>
    <t xml:space="preserve">Overwhelmed by thousands of mutual funds? Use Stockstrail's 10-step framework to choose a fund by goals, risk and horizon, not hype or past returns.</t>
  </si>
  <si>
    <t xml:space="preserve">how to choose a mutual fund</t>
  </si>
  <si>
    <t xml:space="preserve">best way to select mutual fund; mutual fund selection criteria; choose SIP fund</t>
  </si>
  <si>
    <t xml:space="preserve">Numbered framework = good featured-snippet / AI Overview format: keep the 10 steps as an &lt;ol&gt; with short bold step names.</t>
  </si>
  <si>
    <t xml:space="preserve">How to Choose the Right Mutual Fund in India (2026 Guide) | Stockstrail</t>
  </si>
  <si>
    <t xml:space="preserve">Overwhelmed by thousands of mutual fund options? Stockstrail's 10-step framework shows you how to choose the right mutual fund based on your goals, not hype.</t>
  </si>
  <si>
    <t xml:space="preserve">#14 MF taxation (Ch.8)</t>
  </si>
  <si>
    <t xml:space="preserve">https://www.stockstrail.in/blog/chapter-8-mutual-fund-taxation-in-india-2026-explained-simply-stockstrail</t>
  </si>
  <si>
    <t xml:space="preserve">Mutual Fund Tax in India (2026): LTCG &amp; STCG | Stockstrail</t>
  </si>
  <si>
    <t xml:space="preserve">How are mutual funds taxed in India in 2026? Capital gains, holding periods, SIP taxation and dividend tax, explained in plain language.</t>
  </si>
  <si>
    <t xml:space="preserve">mutual fund taxation India</t>
  </si>
  <si>
    <t xml:space="preserve">LTCG STCG mutual funds; equity fund tax; debt fund tax; SIP taxation; mutual fund dividend tax</t>
  </si>
  <si>
    <t xml:space="preserve">YMYL + changes often: add 'Last reviewed' date, cite the Income Tax Department/Finance Act, and re-check after each Budget and after the Income-tax Act 2025 transition.</t>
  </si>
  <si>
    <t xml:space="preserve">Mutual Fund Taxation in India (2026) Explained Simply | Stockstrail</t>
  </si>
  <si>
    <t xml:space="preserve">How are mutual funds taxed in India? Stockstrail breaks down capital gains, holding periods, SIP taxation, and dividend taxation in plain language.</t>
  </si>
  <si>
    <t xml:space="preserve">#15 SIP for HP salaried</t>
  </si>
  <si>
    <t xml:space="preserve">https://www.stockstrail.in/blog/the-financial-story-of-himachal-pradesh-s-emplyoee</t>
  </si>
  <si>
    <t xml:space="preserve">SIP for Salaried People in Himachal Pradesh | Stockstrail</t>
  </si>
  <si>
    <t xml:space="preserve">How much SIP should a salaried person in Himachal Pradesh start? District-wise guide to all 12 districts with income-based SIP tables and real numbers.</t>
  </si>
  <si>
    <t xml:space="preserve">SIP for salaried in Himachal Pradesh</t>
  </si>
  <si>
    <t xml:space="preserve">how much SIP to start; SIP amount by salary; Himachal Pradesh financial planning; HP government employee SIP</t>
  </si>
  <si>
    <t xml:space="preserve">Informational / Local</t>
  </si>
  <si>
    <t xml:space="preserve">Your best local-SEO asset (low competition). FIX NOW: the slug has a typo ('emplyoee') and the blog-list headline reads 'Emplyoee': new slug /blog/sip-for-salaried-himachal-pradesh + 301. Create a national version ('how much SIP by salary') to capture non-HP traffic.</t>
  </si>
  <si>
    <t xml:space="preserve">How Much SIP Should a Salaried Person in Himachal Pradesh Start? (2026 Guide) | Stockstrail</t>
  </si>
  <si>
    <t xml:space="preserve">Wondering how much SIP to start on a salaried income in Himachal Pradesh? A district-wise guide to all 12 districts, income-based SIP tables, and real numbers from Stockstrail.</t>
  </si>
  <si>
    <t xml:space="preserve">#16 SIP vs lump sum (Ch.5)</t>
  </si>
  <si>
    <t xml:space="preserve">https://www.stockstrail.in/blog/chapter-5-sip-vs-lump-sum-which-investment-method-is-right-for-you-stockstrail</t>
  </si>
  <si>
    <t xml:space="preserve">SIP vs Lumpsum: Which Is Better for You? | Stockstrail</t>
  </si>
  <si>
    <t xml:space="preserve">SIP or lumpsum: which builds more wealth? See the real difference with examples, when each works best, and how to pick the right method for your goals.</t>
  </si>
  <si>
    <t xml:space="preserve">SIP vs lumpsum</t>
  </si>
  <si>
    <t xml:space="preserve">SIP or lump sum which is better; lumpsum vs SIP returns; SIP vs lumpsum calculator</t>
  </si>
  <si>
    <t xml:space="preserve">Informational / Comparison</t>
  </si>
  <si>
    <t xml:space="preserve">Spelling: use 'lumpsum' consistently (matches your calculator and the dominant search spelling). Embed the lumpsum + SIP calculators. Consolidate with the learning lesson (point the lesson's canonical or link clearly) to avoid two pages competing.</t>
  </si>
  <si>
    <t xml:space="preserve">SIP vs Lump Sum: Which Investment Method Is Right for You? | Stockstrail</t>
  </si>
  <si>
    <t xml:space="preserve">SIP or lump sum which one builds more wealth? Stockstrail breaks down the real difference, with examples, so you can pick the right approach for your goals.</t>
  </si>
  <si>
    <t xml:space="preserve">#17 IT layoffs money plan</t>
  </si>
  <si>
    <t xml:space="preserve">https://www.stockstrail.in/blog/indian-it-earnings-week-2026-ai-pressure-layoffs-fresher-hiring-and-what-investors-should-do-stockstrail-indian-it-layoffs-vs-fresher-hiring-smart-money-plan-for-2026</t>
  </si>
  <si>
    <t xml:space="preserve">IT Layoffs 2026: A 5-Step Money Plan | Stockstrail</t>
  </si>
  <si>
    <t xml:space="preserve">IT earnings season brings layoff and fresher-hiring headlines. See what they mean for your SIP, FD and emergency fund, with a 5-step plan from Stockstrail.</t>
  </si>
  <si>
    <t xml:space="preserve">IT layoffs money plan</t>
  </si>
  <si>
    <t xml:space="preserve">IT layoffs SIP emergency fund; fresher hiring 2026; what to do if laid off finances</t>
  </si>
  <si>
    <t xml:space="preserve">Old description said 'TCS reports on 8 Oct' (yesterday): already stale, so the new one is evergreen. Slug is 166 characters (keyword-stuffed + duplicated): replace with /blog/it-layoffs-money-plan-2026 and 301.</t>
  </si>
  <si>
    <t xml:space="preserve">Indian IT Layoffs vs Fresher Hiring: Money Plan 2026 | Stockstrail</t>
  </si>
  <si>
    <t xml:space="preserve">TCS reports on 8 Oct. See what IT layoffs and fresher hiring mean for your SIP, FD and emergency fund, with a 5-step plan from Stockstrail (ARN-284122).</t>
  </si>
  <si>
    <t xml:space="preserve">#18 SEBI nomination rule</t>
  </si>
  <si>
    <t xml:space="preserve">https://www.stockstrail.in/blog/sebi-mutual-fund-nomination-rule-september-2026</t>
  </si>
  <si>
    <t xml:space="preserve">SEBI Nomination Rules 2026: Add a Nominee | Stockstrail</t>
  </si>
  <si>
    <t xml:space="preserve">SEBI's revised nomination rules for mutual fund folios and demat accounts are now in effect (from 1 Sept 2026). See what changed, who must nominate and how.</t>
  </si>
  <si>
    <t xml:space="preserve">SEBI nomination rules 2026</t>
  </si>
  <si>
    <t xml:space="preserve">mutual fund nominee add online; demat nomination; opt out of nomination; nomination deadline</t>
  </si>
  <si>
    <t xml:space="preserve">Informational / News (YMYL)</t>
  </si>
  <si>
    <t xml:space="preserve">STALE: the old title says 'Before September 1' but it is now 9 Oct 2026: past-deadline wording hurts trust and CTR. Rewrite the page as a 'how to add a nominee now' guide and re-verify every detail against the SEBI circular before publishing.</t>
  </si>
  <si>
    <t xml:space="preserve">SEBI Mutual Fund Nomination Rule 2026: What Investors Must Check Before September 1 | Stockstrail</t>
  </si>
  <si>
    <t xml:space="preserve">SEBI's revised nomination rules for mutual fund folios and demat accounts take effect September 1, 2026. Learn what changes, who needs to nominate, how to opt out, and what existing investors should check.</t>
  </si>
  <si>
    <t xml:space="preserve">#19 Market down guide</t>
  </si>
  <si>
    <t xml:space="preserve">https://www.stockstrail.in/blog/why-is-the-market-down-a-salaried-employee-s-action-guide</t>
  </si>
  <si>
    <t xml:space="preserve">Market Down? 5 Steps for Salaried Investors | Stockstrail</t>
  </si>
  <si>
    <t xml:space="preserve">Markets have fallen for weeks. Here is why, and 5 practical steps every salaried professional should take, from SIPs to emergency funds and insurance.</t>
  </si>
  <si>
    <t xml:space="preserve">why is the market down</t>
  </si>
  <si>
    <t xml:space="preserve">market crash what to do; should I stop SIP when market falls; salaried investor guide</t>
  </si>
  <si>
    <t xml:space="preserve">Old title ended mid-phrase ('...Action'). Time-sensitive wording ('fallen for weeks'): add the date and a 'Last updated' stamp, or reword once the market recovers.</t>
  </si>
  <si>
    <t xml:space="preserve">Why Is the Market Down? A Salaried Employee's Action | Stockstrail</t>
  </si>
  <si>
    <t xml:space="preserve">Markets have fallen for weeks. Here's why, plus 5 practical steps every salaried professional should take — from SIPs to insurance. Read the full guide.</t>
  </si>
  <si>
    <t xml:space="preserve">Legal &amp; Trust</t>
  </si>
  <si>
    <t xml:space="preserve">Editorial Policy</t>
  </si>
  <si>
    <t xml:space="preserve">https://www.stockstrail.in/editorial-policy</t>
  </si>
  <si>
    <t xml:space="preserve">Editorial Policy &amp; Fact-Checking Standards | Stockstrail</t>
  </si>
  <si>
    <t xml:space="preserve">How Stockstrail researches, writes and fact-checks financial content: sources, review process, AMFI and SEBI compliance standards and how we correct errors.</t>
  </si>
  <si>
    <t xml:space="preserve">Stockstrail editorial policy</t>
  </si>
  <si>
    <t xml:space="preserve">fact-checking standards; financial content review process; corrections policy</t>
  </si>
  <si>
    <t xml:space="preserve">Trust</t>
  </si>
  <si>
    <t xml:space="preserve">Title was already good. Description rewritten for people, not jargon ('E-E-A-T', 'financial intelligence'). Link to this page from every article footer/byline.</t>
  </si>
  <si>
    <t xml:space="preserve">Stockstrail editorial policy, E-E-A-T research methodology, AMFI &amp; SEBI compliance standards, and fact-checking principles for financial intelligence.</t>
  </si>
  <si>
    <t xml:space="preserve">Terms &amp; Conditions</t>
  </si>
  <si>
    <t xml:space="preserve">https://www.stockstrail.in/terms-and-conditions</t>
  </si>
  <si>
    <t xml:space="preserve">Terms &amp; Conditions and Cancellation Policy | Stockstrail</t>
  </si>
  <si>
    <t xml:space="preserve">Read Stockstrail's terms of use and cancellation policy covering mutual funds, fixed deposits, insurance, loans and Demat account services.</t>
  </si>
  <si>
    <t xml:space="preserve">Stockstrail terms and conditions</t>
  </si>
  <si>
    <t xml:space="preserve">cancellation policy; terms of use</t>
  </si>
  <si>
    <t xml:space="preserve">Navigational / Legal</t>
  </si>
  <si>
    <t xml:space="preserve">Low SEO value: keep indexable for trust (YMYL sites are expected to show legal pages). Fix the stray 'Terms of Service' vs 'Terms &amp; Conditions' naming used elsewhere on the site.</t>
  </si>
  <si>
    <t xml:space="preserve">Terms and Conditions &amp; Cancellation Policy | Stockstrail</t>
  </si>
  <si>
    <t xml:space="preserve">Read Stockstrail's Terms and Conditions and Cancellation Policy for all financial services including mutual funds, fixed deposits, insurance, loans, and demat accounts.</t>
  </si>
  <si>
    <t xml:space="preserve">Commission Disclosure</t>
  </si>
  <si>
    <t xml:space="preserve">https://www.stockstrail.in/commission-disclosure</t>
  </si>
  <si>
    <t xml:space="preserve">Commission Disclosure: How Stockstrail Earns Money</t>
  </si>
  <si>
    <t xml:space="preserve">Transparent disclosure of the commissions Stockstrail (ARN-284122) earns from mutual fund AMCs and partners, how they are paid and what it means for you.</t>
  </si>
  <si>
    <t xml:space="preserve">Stockstrail commission disclosure</t>
  </si>
  <si>
    <t xml:space="preserve">how mutual fund distributors earn; ARN-284122 commission; trail commission</t>
  </si>
  <si>
    <t xml:space="preserve">Trust (E-E-A-T)</t>
  </si>
  <si>
    <t xml:space="preserve">Old title repeated the brand ('Stockstrail Commission Disclosure | Stockstrail'). New title already contains the brand, so set it as an absolute title with no template suffix. Remove 'zero hidden fees' (absolute claim); say 'all commissions are disclosed here'.</t>
  </si>
  <si>
    <t xml:space="preserve">Stockstrail Commission Disclosure | Stockstrail</t>
  </si>
  <si>
    <t xml:space="preserve">Transparent disclosure of Stockstrail's Mutual Funds distribution and brokerage earnings. We believe in complete transparency with zero hidden fees.</t>
  </si>
  <si>
    <t xml:space="preserve">Account &amp; Admin</t>
  </si>
  <si>
    <t xml:space="preserve">User Sign-In</t>
  </si>
  <si>
    <t xml:space="preserve">https://www.stockstrail.in/sign-in</t>
  </si>
  <si>
    <t xml:space="preserve">Sign In | Stockstrail</t>
  </si>
  <si>
    <t xml:space="preserve">Sign in to your Stockstrail account to view your risk profile and investment history.</t>
  </si>
  <si>
    <t xml:space="preserve">-</t>
  </si>
  <si>
    <t xml:space="preserve">Navigational (account)</t>
  </si>
  <si>
    <t xml:space="preserve">NOINDEX</t>
  </si>
  <si>
    <t xml:space="preserve">Currently index,follow and inheriting the home-page description (duplicate content). Set robots to noindex,nofollow and remove from the sitemap (F3).</t>
  </si>
  <si>
    <t xml:space="preserve">Sign In | Stockstrail (Inherited from Root)</t>
  </si>
  <si>
    <t xml:space="preserve">Achieve financial independence with expert financial planning, mutual funds SIP, fixed deposits, insurance, and loan guidance from Stockstrail (AMFI ARN-284122).</t>
  </si>
  <si>
    <t xml:space="preserve">Complete Profile</t>
  </si>
  <si>
    <t xml:space="preserve">https://www.stockstrail.in/complete-profile</t>
  </si>
  <si>
    <t xml:space="preserve">Complete Your Profile | Stockstrail</t>
  </si>
  <si>
    <t xml:space="preserve">Complete your Stockstrail profile to save your risk assessment and get a personalised financial plan.</t>
  </si>
  <si>
    <t xml:space="preserve">Gated page marked index,follow: set noindex,nofollow (F3).</t>
  </si>
  <si>
    <t xml:space="preserve">Complete Profile | Stockstrail (Inherited from Root)</t>
  </si>
  <si>
    <t xml:space="preserve">Achieve financial independence with expert financial planning, mutual funds SIP, fixed deposits, insurance, and loan guidance from Stockstrail.</t>
  </si>
  <si>
    <t xml:space="preserve">Risk Questionnaire</t>
  </si>
  <si>
    <t xml:space="preserve">https://www.stockstrail.in/risk-profile</t>
  </si>
  <si>
    <t xml:space="preserve">Risk Profiling Questionnaire | Stockstrail</t>
  </si>
  <si>
    <t xml:space="preserve">Answer 11 questions to find your risk tolerance and investment horizon and get an indicative allocation profile.</t>
  </si>
  <si>
    <t xml:space="preserve">Tool (landing is /check-risk-profile)</t>
  </si>
  <si>
    <t xml:space="preserve">Keep noindex. But several indexable pages link here: point those links to /check-risk-profile so link equity goes to the indexable page.</t>
  </si>
  <si>
    <t xml:space="preserve">Answer 11 questions to determine your risk tolerance, investment horizon, and get an indicative allocation profile aligned with Stockstrail's methodology.</t>
  </si>
  <si>
    <t xml:space="preserve">User Dashboard</t>
  </si>
  <si>
    <t xml:space="preserve">https://www.stockstrail.in/dashboard</t>
  </si>
  <si>
    <t xml:space="preserve">Dashboard | Stockstrail</t>
  </si>
  <si>
    <t xml:space="preserve">View your risk profile and investment history.</t>
  </si>
  <si>
    <t xml:space="preserve">Account</t>
  </si>
  <si>
    <t xml:space="preserve">Already noindex. No change needed.</t>
  </si>
  <si>
    <t xml:space="preserve">View your risk profile and investment history</t>
  </si>
  <si>
    <t xml:space="preserve">Admin Sign-In</t>
  </si>
  <si>
    <t xml:space="preserve">https://www.stockstrail.in/admin/sign-in</t>
  </si>
  <si>
    <t xml:space="preserve">Admin Sign In | Stockstrail</t>
  </si>
  <si>
    <t xml:space="preserve">Stockstrail administration login.</t>
  </si>
  <si>
    <t xml:space="preserve">Admin</t>
  </si>
  <si>
    <t xml:space="preserve">Already noindex. Also disallow /admin/ in robots.txt (note: robots.txt does not secure it).</t>
  </si>
  <si>
    <t xml:space="preserve">Stockstrail Administration Login</t>
  </si>
  <si>
    <t xml:space="preserve">Admin Dashboard</t>
  </si>
  <si>
    <t xml:space="preserve">https://www.stockstrail.in/admin/dashboard</t>
  </si>
  <si>
    <t xml:space="preserve">Admin Dashboard | Stockstrail</t>
  </si>
  <si>
    <t xml:space="preserve">Admin panel for managing risk profiles.</t>
  </si>
  <si>
    <t xml:space="preserve">Admin panel for managing risk profiles</t>
  </si>
  <si>
    <t xml:space="preserve">Stockstrail Learning: Meta titles &amp; descriptions (learning.stockstrail.in)</t>
  </si>
  <si>
    <t xml:space="preserve">Same rules as the main-site sheet. Lesson titles now lead with the search query instead of a label, and the 'Stockstrail' brand closes each title.</t>
  </si>
  <si>
    <t xml:space="preserve">Learning Hub</t>
  </si>
  <si>
    <t xml:space="preserve">Learning Home</t>
  </si>
  <si>
    <t xml:space="preserve">https://learning.stockstrail.in</t>
  </si>
  <si>
    <t xml:space="preserve">Stockstrail Learning: Free Investing &amp; Finance Courses India</t>
  </si>
  <si>
    <t xml:space="preserve">Free, structured courses on mutual funds, SIP, insurance, tax saving, stock market and retirement for Indian investors. No login, no ads, no sales pitch.</t>
  </si>
  <si>
    <t xml:space="preserve">free finance courses India</t>
  </si>
  <si>
    <t xml:space="preserve">learn mutual funds free; investing course for beginners; personal finance course India</t>
  </si>
  <si>
    <t xml:space="preserve">Remove 'SEBI-aware' (vague). Home must link to every course with descriptive anchors. Add Organization schema (publisher = Stockstrail) so the subdomain inherits brand entity; consider moving under stockstrail.in/learn long-term (F21).</t>
  </si>
  <si>
    <t xml:space="preserve">Stockstrail Learning — Free Investing &amp; Personal Finance Courses for India</t>
  </si>
  <si>
    <t xml:space="preserve">Free structured courses on mutual funds, SIP, insurance, tax saving, stock market, and retirement planning — built for Indian investors. No login, no ads, SEBI-aware content.</t>
  </si>
  <si>
    <t xml:space="preserve">About Learning Hub</t>
  </si>
  <si>
    <t xml:space="preserve">https://learning.stockstrail.in/about</t>
  </si>
  <si>
    <t xml:space="preserve">About Stockstrail Learning | Free Finance Education India</t>
  </si>
  <si>
    <t xml:space="preserve">Stockstrail Learning is a free finance education hub for Indian investors: mutual funds, SIPs, tax saving and risk profiling without jargon or sales pitches.</t>
  </si>
  <si>
    <t xml:space="preserve">Stockstrail Learning</t>
  </si>
  <si>
    <t xml:space="preserve">free financial education India; who runs Stockstrail Learning</t>
  </si>
  <si>
    <t xml:space="preserve">Navigational / Trust</t>
  </si>
  <si>
    <t xml:space="preserve">Name the author/reviewer (Vikrant Bhardwaj, ARN-284122, NISM V-A) on this page: it is the trust page for the subdomain.</t>
  </si>
  <si>
    <t xml:space="preserve">About Stockstrail Learning — Free Financial Education Hub for Indian Investors</t>
  </si>
  <si>
    <t xml:space="preserve">Discover Stockstrail Learning — a 100% free, structured financial education hub for Indian retail investors. Learn about Mutual Funds, SIPs, Tax Saving, Risk Profiling, and Personal Finance without jargon or sales pitches.</t>
  </si>
  <si>
    <t xml:space="preserve">Categories Directory</t>
  </si>
  <si>
    <t xml:space="preserve">https://learning.stockstrail.in/categories</t>
  </si>
  <si>
    <t xml:space="preserve">Finance Topics &amp; Courses: Browse All | Stockstrail Learning</t>
  </si>
  <si>
    <t xml:space="preserve">Browse finance topics on Stockstrail Learning: mutual funds, SIP, insurance, stock market, demat, tax saving, loans, retirement and financial planning.</t>
  </si>
  <si>
    <t xml:space="preserve">finance topics to learn</t>
  </si>
  <si>
    <t xml:space="preserve">personal finance topics; investing categories</t>
  </si>
  <si>
    <t xml:space="preserve">Navigational</t>
  </si>
  <si>
    <t xml:space="preserve">Old title/description were too thin to rank or earn clicks.</t>
  </si>
  <si>
    <t xml:space="preserve">Categories — Stockstrail Learning</t>
  </si>
  <si>
    <t xml:space="preserve">Browse finance topics — mutual funds, SIP, insurance, stocks, tax, retirement and more.</t>
  </si>
  <si>
    <t xml:space="preserve">Courses Directory</t>
  </si>
  <si>
    <t xml:space="preserve">https://learning.stockstrail.in/courses</t>
  </si>
  <si>
    <t xml:space="preserve">All Free Finance Courses in India | Stockstrail Learning</t>
  </si>
  <si>
    <t xml:space="preserve">Browse all 12 free finance courses: mutual funds, SIP, insurance, tax saving, retirement and more. Filter by difficulty, category and reading time.</t>
  </si>
  <si>
    <t xml:space="preserve">free finance courses</t>
  </si>
  <si>
    <t xml:space="preserve">online investing courses India; beginner finance course; free mutual fund course</t>
  </si>
  <si>
    <t xml:space="preserve">Navigational / Informational</t>
  </si>
  <si>
    <t xml:space="preserve">'12' must be kept in sync with the catalogue: render it from the database (avoid hard-coding).</t>
  </si>
  <si>
    <t xml:space="preserve">All Courses — Stockstrail Learning</t>
  </si>
  <si>
    <t xml:space="preserve">Browse every finance course on Stockstrail Learning. Filter by difficulty, category and reading time.</t>
  </si>
  <si>
    <t xml:space="preserve">Learning Category</t>
  </si>
  <si>
    <t xml:space="preserve">personal-finance-basics</t>
  </si>
  <si>
    <t xml:space="preserve">https://learning.stockstrail.in/categories/personal-finance-basics</t>
  </si>
  <si>
    <t xml:space="preserve">Personal Finance Basics: Free Courses | Stockstrail</t>
  </si>
  <si>
    <t xml:space="preserve">Learn to manage daily money, budget well, get out of debt and choose the right insurance for your family with free personal finance basics courses.</t>
  </si>
  <si>
    <t xml:space="preserve">personal finance basics</t>
  </si>
  <si>
    <t xml:space="preserve">budgeting course; get out of debt; insurance basics</t>
  </si>
  <si>
    <t xml:space="preserve">DUPLICATE of /categories/personal-finance (near-identical topic). Merge into one category and 301 the other (F10).</t>
  </si>
  <si>
    <t xml:space="preserve">Personal Finance Basics Courses — Stockstrail Learning</t>
  </si>
  <si>
    <t xml:space="preserve">Learn how to manage your daily money, budget effectively, get out of debt, and buy the right insurance protection for you and your family.</t>
  </si>
  <si>
    <t xml:space="preserve">mutual-funds</t>
  </si>
  <si>
    <t xml:space="preserve">https://learning.stockstrail.in/categories/mutual-funds</t>
  </si>
  <si>
    <t xml:space="preserve">Mutual Fund Courses for Beginners (Free) | Stockstrail</t>
  </si>
  <si>
    <t xml:space="preserve">Free mutual fund courses and lessons: what mutual funds are, NAV, expense ratios, direct vs regular plans, SIP vs lumpsum and taxation.</t>
  </si>
  <si>
    <t xml:space="preserve">mutual fund course</t>
  </si>
  <si>
    <t xml:space="preserve">learn mutual funds; mutual funds for beginners; NAV expense ratio</t>
  </si>
  <si>
    <t xml:space="preserve">Old title/description were thin: now topic-specific and benefit-led.</t>
  </si>
  <si>
    <t xml:space="preserve">Mutual Funds Courses — Stockstrail Learning</t>
  </si>
  <si>
    <t xml:space="preserve">Pooled investments, NAV, expense ratios and more.</t>
  </si>
  <si>
    <t xml:space="preserve">sip</t>
  </si>
  <si>
    <t xml:space="preserve">https://learning.stockstrail.in/categories/sip</t>
  </si>
  <si>
    <t xml:space="preserve">SIP Courses: Learn Systematic Investing | Stockstrail</t>
  </si>
  <si>
    <t xml:space="preserve">Learn how SIPs work with free lessons on rupee cost averaging, step-up SIPs, compounding and common SIP myths for Indian investors.</t>
  </si>
  <si>
    <t xml:space="preserve">SIP course</t>
  </si>
  <si>
    <t xml:space="preserve">learn SIP; systematic investment plan basics</t>
  </si>
  <si>
    <t xml:space="preserve">SIP Courses — Stockstrail Learning</t>
  </si>
  <si>
    <t xml:space="preserve">Systematic Investment Plans and disciplined investing.</t>
  </si>
  <si>
    <t xml:space="preserve">swp</t>
  </si>
  <si>
    <t xml:space="preserve">https://learning.stockstrail.in/categories/swp</t>
  </si>
  <si>
    <t xml:space="preserve">SWP Courses: Systematic Withdrawal Plans | Stockstrail</t>
  </si>
  <si>
    <t xml:space="preserve">Learn how a Systematic Withdrawal Plan (SWP) can create regular income from your mutual fund investments, and when it makes sense.</t>
  </si>
  <si>
    <t xml:space="preserve">SWP mutual fund</t>
  </si>
  <si>
    <t xml:space="preserve">systematic withdrawal plan; SWP vs SIP; SWP for retirement income</t>
  </si>
  <si>
    <t xml:space="preserve">No course currently sits in this category (thin page): set noindex until an SWP course exists. SWP calculator + course is a good high-demand pair.</t>
  </si>
  <si>
    <t xml:space="preserve">SWP Courses — Stockstrail Learning</t>
  </si>
  <si>
    <t xml:space="preserve">Systematic Withdrawal Plans for cashflow.</t>
  </si>
  <si>
    <t xml:space="preserve">insurance</t>
  </si>
  <si>
    <t xml:space="preserve">https://learning.stockstrail.in/categories/insurance</t>
  </si>
  <si>
    <t xml:space="preserve">Insurance Courses: Term, Health &amp; More | Stockstrail</t>
  </si>
  <si>
    <t xml:space="preserve">Free insurance courses for Indian families: term vs traditional plans, health insurance riders, claim settlement ratios and how much cover you need.</t>
  </si>
  <si>
    <t xml:space="preserve">insurance course</t>
  </si>
  <si>
    <t xml:space="preserve">learn term insurance; health insurance basics; claim settlement ratio</t>
  </si>
  <si>
    <t xml:space="preserve">Insurance Courses — Stockstrail Learning</t>
  </si>
  <si>
    <t xml:space="preserve">Protect your family and your wealth.</t>
  </si>
  <si>
    <t xml:space="preserve">stock-market</t>
  </si>
  <si>
    <t xml:space="preserve">https://learning.stockstrail.in/categories/stock-market</t>
  </si>
  <si>
    <t xml:space="preserve">Stock Market Courses for Beginners | Stockstrail</t>
  </si>
  <si>
    <t xml:space="preserve">Learn how the stock market works with free beginner courses on shares, Sensex and Nifty, market cycles and long-term investing.</t>
  </si>
  <si>
    <t xml:space="preserve">stock market course</t>
  </si>
  <si>
    <t xml:space="preserve">stock market for beginners; Sensex Nifty basics</t>
  </si>
  <si>
    <t xml:space="preserve">Stock Market Courses — Stockstrail Learning</t>
  </si>
  <si>
    <t xml:space="preserve">Equities, indices, and how markets work.</t>
  </si>
  <si>
    <t xml:space="preserve">demat</t>
  </si>
  <si>
    <t xml:space="preserve">https://learning.stockstrail.in/categories/demat</t>
  </si>
  <si>
    <t xml:space="preserve">Demat Account Courses: Open &amp; Use Safely | Stockstrail</t>
  </si>
  <si>
    <t xml:space="preserve">Free lessons on how to open, use and secure a Demat and trading account in India, with NSDL and CDSL depositories explained in simple steps.</t>
  </si>
  <si>
    <t xml:space="preserve">demat account guide</t>
  </si>
  <si>
    <t xml:space="preserve">how to open demat account; NSDL CDSL</t>
  </si>
  <si>
    <t xml:space="preserve">Demat Accounts Courses — Stockstrail Learning</t>
  </si>
  <si>
    <t xml:space="preserve">Open, use and secure a demat account.</t>
  </si>
  <si>
    <t xml:space="preserve">personal-finance</t>
  </si>
  <si>
    <t xml:space="preserve">https://learning.stockstrail.in/categories/personal-finance</t>
  </si>
  <si>
    <t xml:space="preserve">Personal Finance Courses: Budgeting &amp; Saving | Stockstrail</t>
  </si>
  <si>
    <t xml:space="preserve">Free personal finance courses on budgeting, saving and healthy money habits, including the 50/30/20 rule and emergency funds.</t>
  </si>
  <si>
    <t xml:space="preserve">personal finance course</t>
  </si>
  <si>
    <t xml:space="preserve">budgeting course; money habits; 50/30/20 rule</t>
  </si>
  <si>
    <t xml:space="preserve">Merge with personal-finance-basics (see above) and keep this as the single canonical category.</t>
  </si>
  <si>
    <t xml:space="preserve">Personal Finance Courses — Stockstrail Learning</t>
  </si>
  <si>
    <t xml:space="preserve">Budgeting, saving, and money habits.</t>
  </si>
  <si>
    <t xml:space="preserve">tax-saving</t>
  </si>
  <si>
    <t xml:space="preserve">https://learning.stockstrail.in/categories/tax-saving</t>
  </si>
  <si>
    <t xml:space="preserve">Tax Saving Courses: 80C, ELSS &amp; NPS | Stockstrail</t>
  </si>
  <si>
    <t xml:space="preserve">Free tax saving courses for Indian taxpayers: Section 80C, ELSS, NPS, health deductions and choosing between the old and new tax regime.</t>
  </si>
  <si>
    <t xml:space="preserve">tax saving course</t>
  </si>
  <si>
    <t xml:space="preserve">80C ELSS NPS; old vs new regime; tax planning India</t>
  </si>
  <si>
    <t xml:space="preserve">Section numbers are being re-mapped under the Income-tax Act 2025: keep '80C' (people still search it) but explain the mapping on-page.</t>
  </si>
  <si>
    <t xml:space="preserve">Tax Saving Courses — Stockstrail Learning</t>
  </si>
  <si>
    <t xml:space="preserve">Section 80C, ELSS, NPS and smart tax planning.</t>
  </si>
  <si>
    <t xml:space="preserve">loans</t>
  </si>
  <si>
    <t xml:space="preserve">https://learning.stockstrail.in/categories/loans</t>
  </si>
  <si>
    <t xml:space="preserve">Loan Courses: EMI, Credit Score &amp; Prepayment | Stockstrail</t>
  </si>
  <si>
    <t xml:space="preserve">Free loan courses: how EMIs split between interest and principal, how credit scores work, prepayment math and how to avoid debt traps.</t>
  </si>
  <si>
    <t xml:space="preserve">loan course</t>
  </si>
  <si>
    <t xml:space="preserve">EMI explained; credit score basics; prepayment</t>
  </si>
  <si>
    <t xml:space="preserve">Loans Courses — Stockstrail Learning</t>
  </si>
  <si>
    <t xml:space="preserve">Home, personal &amp; credit loans decoded.</t>
  </si>
  <si>
    <t xml:space="preserve">retirement</t>
  </si>
  <si>
    <t xml:space="preserve">https://learning.stockstrail.in/categories/retirement</t>
  </si>
  <si>
    <t xml:space="preserve">Retirement Planning Courses (Free) | Stockstrail</t>
  </si>
  <si>
    <t xml:space="preserve">Free retirement planning courses: calculate your corpus, factor in inflation and build lifelong cash flow for a stress-free retirement in India.</t>
  </si>
  <si>
    <t xml:space="preserve">retirement planning course</t>
  </si>
  <si>
    <t xml:space="preserve">retirement corpus; retire early India</t>
  </si>
  <si>
    <t xml:space="preserve">Retirement Courses — Stockstrail Learning</t>
  </si>
  <si>
    <t xml:space="preserve">Plan a stress-free retirement.</t>
  </si>
  <si>
    <t xml:space="preserve">financial-planning</t>
  </si>
  <si>
    <t xml:space="preserve">https://learning.stockstrail.in/categories/financial-planning</t>
  </si>
  <si>
    <t xml:space="preserve">Financial Planning Courses: Goals &amp; Wealth | Stockstrail</t>
  </si>
  <si>
    <t xml:space="preserve">Free financial planning courses: set goals, build an emergency fund, manage debt and match your investments to time horizons.</t>
  </si>
  <si>
    <t xml:space="preserve">financial planning course</t>
  </si>
  <si>
    <t xml:space="preserve">goal based investing; emergency fund; wealth planning</t>
  </si>
  <si>
    <t xml:space="preserve">Financial Planning Courses — Stockstrail Learning</t>
  </si>
  <si>
    <t xml:space="preserve">Goal-based, holistic wealth planning.</t>
  </si>
  <si>
    <t xml:space="preserve">fixed-deposits</t>
  </si>
  <si>
    <t xml:space="preserve">https://learning.stockstrail.in/categories/fixed-deposits</t>
  </si>
  <si>
    <t xml:space="preserve">Fixed Deposit Courses: Rates, Tax &amp; Laddering | Stockstrail</t>
  </si>
  <si>
    <t xml:space="preserve">Free fixed deposit courses: bank vs corporate FDs, cumulative interest, tax implications and FD laddering for safe, predictable returns.</t>
  </si>
  <si>
    <t xml:space="preserve">fixed deposit course</t>
  </si>
  <si>
    <t xml:space="preserve">FD laddering; bank vs corporate FD; FD tax</t>
  </si>
  <si>
    <t xml:space="preserve">Fixed Deposits Courses — Stockstrail Learning</t>
  </si>
  <si>
    <t xml:space="preserve">Safe, predictable returns explained.</t>
  </si>
  <si>
    <t xml:space="preserve">Learning Course</t>
  </si>
  <si>
    <t xml:space="preserve">https://learning.stockstrail.in/courses/mutual-funds</t>
  </si>
  <si>
    <t xml:space="preserve">Mutual Funds Course for Beginners (Free) | Stockstrail</t>
  </si>
  <si>
    <t xml:space="preserve">Free beginner-to-intermediate mutual fund course for Indian investors: NAV, expense ratio, direct vs regular, SIP vs lumpsum, taxation and common mistakes.</t>
  </si>
  <si>
    <t xml:space="preserve">mutual funds course</t>
  </si>
  <si>
    <t xml:space="preserve">learn mutual funds; mutual fund basics; mutual funds for beginners India</t>
  </si>
  <si>
    <t xml:space="preserve">Old title (80+ chars) was truncated. Add Course schema (name, description, provider = Stockstrail) and link every lesson from this page.</t>
  </si>
  <si>
    <t xml:space="preserve">Mutual Funds: From Zero to Confident Investor — Stockstrail Learning</t>
  </si>
  <si>
    <t xml:space="preserve">The complete beginner-to-intermediate guide to mutual fund investing in India.</t>
  </si>
  <si>
    <t xml:space="preserve">sip-mastery</t>
  </si>
  <si>
    <t xml:space="preserve">https://learning.stockstrail.in/courses/sip-mastery</t>
  </si>
  <si>
    <t xml:space="preserve">SIP Course: Step-Up SIP &amp; Rupee Cost Averaging | Stockstrail</t>
  </si>
  <si>
    <t xml:space="preserve">Master SIPs with a free course on rupee cost averaging, step-up SIPs, compounding and the biggest SIP myths. Built for Indian investors.</t>
  </si>
  <si>
    <t xml:space="preserve">step up SIP; rupee cost averaging; SIP myths</t>
  </si>
  <si>
    <t xml:space="preserve">SIP Mastery: Compounding Your Way to Wealth — Stockstrail Learning</t>
  </si>
  <si>
    <t xml:space="preserve">Master Systematic Investment Plans with rupee-cost averaging and step-up SIPs.</t>
  </si>
  <si>
    <t xml:space="preserve">insurance-fundamentals</t>
  </si>
  <si>
    <t xml:space="preserve">https://learning.stockstrail.in/courses/insurance-fundamentals</t>
  </si>
  <si>
    <t xml:space="preserve">Insurance Course: Term, Health &amp; Claim Ratios | Stockstrail</t>
  </si>
  <si>
    <t xml:space="preserve">Learn term vs traditional plans, health insurance riders and claim settlement ratios in this free insurance course for Indian families.</t>
  </si>
  <si>
    <t xml:space="preserve">insurance course India</t>
  </si>
  <si>
    <t xml:space="preserve">term vs traditional insurance; health insurance riders; claim settlement ratio</t>
  </si>
  <si>
    <t xml:space="preserve">Insurance Decoded: Protect What Matters Most — Stockstrail Learning</t>
  </si>
  <si>
    <t xml:space="preserve">Term vs traditional, health insurance riders, and claim settlement ratios.</t>
  </si>
  <si>
    <t xml:space="preserve">stock-market-basics</t>
  </si>
  <si>
    <t xml:space="preserve">https://learning.stockstrail.in/courses/stock-market-basics</t>
  </si>
  <si>
    <t xml:space="preserve">Stock Market Basics Course for Beginners | Stockstrail</t>
  </si>
  <si>
    <t xml:space="preserve">Learn how shares, Sensex, Nifty and market cycles work in this free stock market course, and build a long-term investing mindset.</t>
  </si>
  <si>
    <t xml:space="preserve">stock market basics</t>
  </si>
  <si>
    <t xml:space="preserve">stock market for beginners; Sensex Nifty; market cycles</t>
  </si>
  <si>
    <t xml:space="preserve">Stock Market 101: How Equities Create Wealth — Stockstrail Learning</t>
  </si>
  <si>
    <t xml:space="preserve">Demystifying shares, Sensex, Nifty, market cycles, and long-term mindset.</t>
  </si>
  <si>
    <t xml:space="preserve">demat-accounts-guide</t>
  </si>
  <si>
    <t xml:space="preserve">https://learning.stockstrail.in/courses/demat-accounts-guide</t>
  </si>
  <si>
    <t xml:space="preserve">Demat Account Course: Open, Use &amp; Secure | Stockstrail</t>
  </si>
  <si>
    <t xml:space="preserve">A free walkthrough to open, operate and safeguard your Demat and trading account, with NSDL and CDSL depositories explained step by step.</t>
  </si>
  <si>
    <t xml:space="preserve">how to open demat account; trading account basics</t>
  </si>
  <si>
    <t xml:space="preserve">Demat &amp; Trading Accounts: The Complete Walkthrough — Stockstrail Learning</t>
  </si>
  <si>
    <t xml:space="preserve">Everything you need to open, operate, and safeguard your demat account.</t>
  </si>
  <si>
    <t xml:space="preserve">tax-saving-investments</t>
  </si>
  <si>
    <t xml:space="preserve">https://learning.stockstrail.in/courses/tax-saving-investments</t>
  </si>
  <si>
    <t xml:space="preserve">Tax Saving Course: 80C, ELSS, NPS &amp; Regimes | Stockstrail</t>
  </si>
  <si>
    <t xml:space="preserve">Free course on tax saving in India: Section 80C, ELSS, NPS, health deductions and how to choose between the old and new tax regime.</t>
  </si>
  <si>
    <t xml:space="preserve">tax saving investments</t>
  </si>
  <si>
    <t xml:space="preserve">80C ELSS NPS; old vs new tax regime; tax planning salaried</t>
  </si>
  <si>
    <t xml:space="preserve">Smart Tax Planning: Keep More of What You Earn — Stockstrail Learning</t>
  </si>
  <si>
    <t xml:space="preserve">Section 80C, ELSS, NPS, health deductions and old vs new tax regime.</t>
  </si>
  <si>
    <t xml:space="preserve">retirement-planning-101</t>
  </si>
  <si>
    <t xml:space="preserve">https://learning.stockstrail.in/courses/retirement-planning-101</t>
  </si>
  <si>
    <t xml:space="preserve">Retirement Planning Course: Build Your Corpus | Stockstrail</t>
  </si>
  <si>
    <t xml:space="preserve">Free retirement planning course: calculate your target corpus, beat inflation and create lifelong cash flow. Made for Indian investors.</t>
  </si>
  <si>
    <t xml:space="preserve">retirement corpus calculator; beat inflation; retire early</t>
  </si>
  <si>
    <t xml:space="preserve">Retirement Planning: Build Your Financial Freedom Corpus — Stockstrail Learning</t>
  </si>
  <si>
    <t xml:space="preserve">Calculate your target corpus, beat inflation, and create lifelong cashflow.</t>
  </si>
  <si>
    <t xml:space="preserve">financial-planning-basics</t>
  </si>
  <si>
    <t xml:space="preserve">https://learning.stockstrail.in/courses/financial-planning-basics</t>
  </si>
  <si>
    <t xml:space="preserve">Financial Planning Basics Course (Free) | Stockstrail</t>
  </si>
  <si>
    <t xml:space="preserve">Learn financial planning basics: build an emergency fund, manage debt, get the right insurance and align your money with life goals. Free course.</t>
  </si>
  <si>
    <t xml:space="preserve">financial planning basics</t>
  </si>
  <si>
    <t xml:space="preserve">emergency fund; debt management; financial goals</t>
  </si>
  <si>
    <t xml:space="preserve">Financial Planning Foundations — Stockstrail Learning</t>
  </si>
  <si>
    <t xml:space="preserve">Build an emergency fund, manage debt, and align money with life goals.</t>
  </si>
  <si>
    <t xml:space="preserve">goal-based-investing</t>
  </si>
  <si>
    <t xml:space="preserve">https://learning.stockstrail.in/courses/goal-based-investing</t>
  </si>
  <si>
    <t xml:space="preserve">Goal-Based Investing Course: Dreams to Numbers | Stockstrail</t>
  </si>
  <si>
    <t xml:space="preserve">Match time horizons and risk profile to goals like child education, a home or retirement with this free goal-based investing course.</t>
  </si>
  <si>
    <t xml:space="preserve">goal based investing</t>
  </si>
  <si>
    <t xml:space="preserve">investing for child education; investing for home; time horizon investing</t>
  </si>
  <si>
    <t xml:space="preserve">Goal-Based Investing: From Dreams to Numbers — Stockstrail Learning</t>
  </si>
  <si>
    <t xml:space="preserve">Map time horizons and risk profiles to child education, home, and wealth.</t>
  </si>
  <si>
    <t xml:space="preserve">fixed-deposits-explained</t>
  </si>
  <si>
    <t xml:space="preserve">https://learning.stockstrail.in/courses/fixed-deposits-explained</t>
  </si>
  <si>
    <t xml:space="preserve">Fixed Deposit Course: Bank vs Corporate FDs | Stockstrail</t>
  </si>
  <si>
    <t xml:space="preserve">Free course on fixed deposits: bank vs corporate FDs, cumulative interest, tax implications and FD laddering strategies for predictable returns.</t>
  </si>
  <si>
    <t xml:space="preserve">FD laddering; bank vs corporate FD; FD taxation</t>
  </si>
  <si>
    <t xml:space="preserve">Fixed Deposits: Safe Returns &amp; Smart Strategies — Stockstrail Learning</t>
  </si>
  <si>
    <t xml:space="preserve">Bank vs corporate FDs, cumulative interest, tax implications and laddering.</t>
  </si>
  <si>
    <t xml:space="preserve">personal-finance-foundations</t>
  </si>
  <si>
    <t xml:space="preserve">https://learning.stockstrail.in/courses/personal-finance-foundations</t>
  </si>
  <si>
    <t xml:space="preserve">Personal Finance Course: Budgeting &amp; Savings | Stockstrail</t>
  </si>
  <si>
    <t xml:space="preserve">Master your daily money with the 50/30/20 budgeting rule, emergency savings and ways to avoid lifestyle creep. A free personal finance course.</t>
  </si>
  <si>
    <t xml:space="preserve">50/30/20 rule; emergency savings; lifestyle creep</t>
  </si>
  <si>
    <t xml:space="preserve">Personal Finance 101: Master Your Daily Money — Stockstrail Learning</t>
  </si>
  <si>
    <t xml:space="preserve">Budgeting rules (50/30/20), emergency savings, and avoiding lifestyle creep.</t>
  </si>
  <si>
    <t xml:space="preserve">loans-decoded</t>
  </si>
  <si>
    <t xml:space="preserve">https://learning.stockstrail.in/courses/loans-decoded</t>
  </si>
  <si>
    <t xml:space="preserve">Loans Course: EMI, Credit Score &amp; Prepayment | Stockstrail</t>
  </si>
  <si>
    <t xml:space="preserve">Learn how credit scores, EMIs and prepayment work and how to avoid debt traps. A free loans and credit course for Indian borrowers.</t>
  </si>
  <si>
    <t xml:space="preserve">loans and credit course</t>
  </si>
  <si>
    <t xml:space="preserve">credit score basics; EMI breakdown; prepayment</t>
  </si>
  <si>
    <t xml:space="preserve">Loans &amp; Credit: Borrow Smart, Repay Faster — Stockstrail Learning</t>
  </si>
  <si>
    <t xml:space="preserve">Credit score secrets, EMI breakdown, prepayment math, and avoiding debt traps.</t>
  </si>
  <si>
    <t xml:space="preserve">Learning Lesson</t>
  </si>
  <si>
    <t xml:space="preserve">mutual-funds / what-is-a-mutual-fund</t>
  </si>
  <si>
    <t xml:space="preserve">https://learning.stockstrail.in/courses/mutual-funds/what-is-a-mutual-fund</t>
  </si>
  <si>
    <t xml:space="preserve">What Is a Mutual Fund? Meaning &amp; How It Works | Stockstrail</t>
  </si>
  <si>
    <t xml:space="preserve">A mutual fund pools money from many investors into a diversified basket of securities run by a professional manager. Learn how it works in this free lesson.</t>
  </si>
  <si>
    <t xml:space="preserve">what is a mutual fund</t>
  </si>
  <si>
    <t xml:space="preserve">mutual fund meaning; how mutual funds work; mutual fund for beginners</t>
  </si>
  <si>
    <t xml:space="preserve">Old title (~90 chars) was truncated and led with a label, not the query. Add a link back to the parent course, next/previous lesson and a 'Try the calculator' CTA.</t>
  </si>
  <si>
    <t xml:space="preserve">What is a Mutual Fund? — Mutual Funds: From Zero to Confident Investor | Stockstrail Learning</t>
  </si>
  <si>
    <t xml:space="preserve">A mutual fund is a professionally managed investment vehicle that pools money from many investors and invests it across a diversified basket of securities.</t>
  </si>
  <si>
    <t xml:space="preserve">mutual-funds / history</t>
  </si>
  <si>
    <t xml:space="preserve">https://learning.stockstrail.in/courses/mutual-funds/history</t>
  </si>
  <si>
    <t xml:space="preserve">History of Mutual Funds in India: UTI to Today | Stockstrail</t>
  </si>
  <si>
    <t xml:space="preserve">India's mutual fund story: UTI in 1963, private AMCs in the 1990s and the SIP boom today. A quick history lesson from Stockstrail Learning.</t>
  </si>
  <si>
    <t xml:space="preserve">history of mutual funds in India</t>
  </si>
  <si>
    <t xml:space="preserve">UTI 1963; mutual fund industry India; AMC history</t>
  </si>
  <si>
    <t xml:space="preserve">Meta avoids the old AUM figure (the lesson says 'more than ₹60 lakh crore'). Update the on-page number to the latest AMFI month-end AUM and date-stamp it.</t>
  </si>
  <si>
    <t xml:space="preserve">A Quick History — Mutual Funds: From Zero to Confident Investor | Stockstrail Learning</t>
  </si>
  <si>
    <t xml:space="preserve">India's mutual fund industry started in 1963 with UTI. Private players entered in the 1990s, and today the industry manages more than ₹60 lakh crore in AUM.</t>
  </si>
  <si>
    <t xml:space="preserve">mutual-funds / types</t>
  </si>
  <si>
    <t xml:space="preserve">https://learning.stockstrail.in/courses/mutual-funds/types</t>
  </si>
  <si>
    <t xml:space="preserve">Types of Mutual Funds: Equity, Debt &amp; Hybrid | Stockstrail</t>
  </si>
  <si>
    <t xml:space="preserve">Mutual funds are classified by asset class, structure and strategy. Learn the main types, equity, debt and hybrid, and which suits which goal.</t>
  </si>
  <si>
    <t xml:space="preserve">types of mutual funds</t>
  </si>
  <si>
    <t xml:space="preserve">equity debt hybrid funds; mutual fund categories</t>
  </si>
  <si>
    <t xml:space="preserve">Types of Mutual Funds — Mutual Funds: From Zero to Confident Investor | Stockstrail Learning</t>
  </si>
  <si>
    <t xml:space="preserve">Funds are classified by asset class, structure, and strategy. The most useful lens for a beginner is asset class.</t>
  </si>
  <si>
    <t xml:space="preserve">mutual-funds / nav-and-expense-ratio</t>
  </si>
  <si>
    <t xml:space="preserve">https://learning.stockstrail.in/courses/mutual-funds/nav-and-expense-ratio</t>
  </si>
  <si>
    <t xml:space="preserve">NAV &amp; Expense Ratio in Mutual Funds Explained | Stockstrail</t>
  </si>
  <si>
    <t xml:space="preserve">NAV is the price of one mutual fund unit: total assets minus liabilities, divided by units outstanding. Learn NAV and how the expense ratio affects returns.</t>
  </si>
  <si>
    <t xml:space="preserve">what is NAV in mutual funds</t>
  </si>
  <si>
    <t xml:space="preserve">expense ratio explained; NAV meaning; mutual fund cost</t>
  </si>
  <si>
    <t xml:space="preserve">NAV &amp; Expense Ratio — Mutual Funds: From Zero to Confident Investor | Stockstrail Learning</t>
  </si>
  <si>
    <t xml:space="preserve">NAV (Net Asset Value) is simply the price of one unit of the mutual fund on any given day. Total assets minus liabilities divided by units outstanding.</t>
  </si>
  <si>
    <t xml:space="preserve">mutual-funds / direct-vs-regular</t>
  </si>
  <si>
    <t xml:space="preserve">https://learning.stockstrail.in/courses/mutual-funds/direct-vs-regular</t>
  </si>
  <si>
    <t xml:space="preserve">Direct vs Regular Mutual Fund Plans Explained | Stockstrail</t>
  </si>
  <si>
    <t xml:space="preserve">Direct and Regular plans hold the same portfolio and fund manager but differ in expense ratio and support. Learn which plan suits you.</t>
  </si>
  <si>
    <t xml:space="preserve">direct vs regular mutual fund</t>
  </si>
  <si>
    <t xml:space="preserve">direct plan vs regular plan; expense ratio difference; mutual fund distributor</t>
  </si>
  <si>
    <t xml:space="preserve">Direct vs Regular Plans — Mutual Funds: From Zero to Confident Investor | Stockstrail Learning</t>
  </si>
  <si>
    <t xml:space="preserve">Every mutual fund scheme comes in two flavours: Direct and Regular. The portfolio, fund manager, and stocks held are identical.</t>
  </si>
  <si>
    <t xml:space="preserve">mutual-funds / sip-vs-lumpsum</t>
  </si>
  <si>
    <t xml:space="preserve">https://learning.stockstrail.in/courses/mutual-funds/sip-vs-lumpsum</t>
  </si>
  <si>
    <t xml:space="preserve">SIP vs Lumpsum Investment: Key Differences | Stockstrail</t>
  </si>
  <si>
    <t xml:space="preserve">SIP spreads your money across market ups and downs with rupee cost averaging; lumpsum puts it to work at once. Learn when each approach fits.</t>
  </si>
  <si>
    <t xml:space="preserve">SIP or lumpsum which is better; rupee cost averaging</t>
  </si>
  <si>
    <t xml:space="preserve">Overlaps with blog post #16 (SIP vs Lump Sum). Differentiate: lesson = definition + quick rule; blog = deep dive + examples. Cross-link both ways.</t>
  </si>
  <si>
    <t xml:space="preserve">SIP vs Lumpsum — Mutual Funds: From Zero to Confident Investor | Stockstrail Learning</t>
  </si>
  <si>
    <t xml:space="preserve">SIP gives you rupee-cost averaging across market volatility; lumpsum puts money to work immediately.</t>
  </si>
  <si>
    <t xml:space="preserve">mutual-funds / taxation</t>
  </si>
  <si>
    <t xml:space="preserve">https://learning.stockstrail.in/courses/mutual-funds/taxation</t>
  </si>
  <si>
    <t xml:space="preserve">Mutual Fund Taxation: LTCG vs STCG Explained | Stockstrail</t>
  </si>
  <si>
    <t xml:space="preserve">Mutual fund tax depends on asset class (equity or debt) and holding period (LTCG or STCG). Learn how gains are taxed in India in this free lesson.</t>
  </si>
  <si>
    <t xml:space="preserve">mutual fund taxation</t>
  </si>
  <si>
    <t xml:space="preserve">LTCG STCG; equity fund tax; debt fund tax</t>
  </si>
  <si>
    <t xml:space="preserve">Overlaps with blog #14. Keep this lesson short and link to the blog for rates; re-check wording after every Budget.</t>
  </si>
  <si>
    <t xml:space="preserve">Mutual Fund Taxation — Mutual Funds: From Zero to Confident Investor | Stockstrail Learning</t>
  </si>
  <si>
    <t xml:space="preserve">Taxation depends on asset class (Equity vs Debt) and holding period (LTCG vs STCG).</t>
  </si>
  <si>
    <t xml:space="preserve">mutual-funds / mistakes</t>
  </si>
  <si>
    <t xml:space="preserve">https://learning.stockstrail.in/courses/mutual-funds/mistakes</t>
  </si>
  <si>
    <t xml:space="preserve">Common Mutual Fund Mistakes to Avoid | Stockstrail</t>
  </si>
  <si>
    <t xml:space="preserve">Chasing last year's top performers, stopping SIPs in corrections and investing without clear goals. Learn the common mutual fund mistakes and how to avoid them.</t>
  </si>
  <si>
    <t xml:space="preserve">common investing mistakes; stopping SIP in correction</t>
  </si>
  <si>
    <t xml:space="preserve">Common Mistakes — Mutual Funds: From Zero to Confident Investor | Stockstrail Learning</t>
  </si>
  <si>
    <t xml:space="preserve">Chasing top performers of last year, stopping SIP in market corrections, and investing without defining clear financial goals.</t>
  </si>
  <si>
    <t xml:space="preserve">sip-mastery / rupee-cost-averaging</t>
  </si>
  <si>
    <t xml:space="preserve">https://learning.stockstrail.in/courses/sip-mastery/rupee-cost-averaging</t>
  </si>
  <si>
    <t xml:space="preserve">Rupee Cost Averaging Explained with SIP | Stockstrail</t>
  </si>
  <si>
    <t xml:space="preserve">When markets fall, a fixed SIP buys more units; when they rise, it buys fewer. Learn how rupee cost averaging works and what it can and cannot do.</t>
  </si>
  <si>
    <t xml:space="preserve">rupee cost averaging</t>
  </si>
  <si>
    <t xml:space="preserve">rupee cost averaging SIP; SIP market fall; unit averaging</t>
  </si>
  <si>
    <t xml:space="preserve">Rupee Cost Averaging — SIP Mastery: Compounding Your Way to Wealth | Stockstrail Learning</t>
  </si>
  <si>
    <t xml:space="preserve">When the market is down, your fixed monthly SIP buys more units; when the market is up, it buys fewer units.</t>
  </si>
  <si>
    <t xml:space="preserve">sip-mastery / step-up-sip</t>
  </si>
  <si>
    <t xml:space="preserve">https://learning.stockstrail.in/courses/sip-mastery/step-up-sip</t>
  </si>
  <si>
    <t xml:space="preserve">Step-Up SIP: What It Is &amp; How It Grows Wealth | Stockstrail</t>
  </si>
  <si>
    <t xml:space="preserve">A step-up SIP raises your monthly investment each year, for example by 10%, and can lift your final corpus considerably. See how it works in this free lesson.</t>
  </si>
  <si>
    <t xml:space="preserve">step up SIP</t>
  </si>
  <si>
    <t xml:space="preserve">top up SIP; step up SIP benefits; annual SIP increase</t>
  </si>
  <si>
    <t xml:space="preserve">Old description claimed a 10% step-up 'can almost double' wealth: that is an unqualified outcome claim. Show the maths (assumptions, years, return) on the page or soften it.</t>
  </si>
  <si>
    <t xml:space="preserve">The Power of Step-Up SIP — SIP Mastery: Compounding Your Way to Wealth | Stockstrail Learning</t>
  </si>
  <si>
    <t xml:space="preserve">Increasing your monthly SIP by just 10% each year can almost double your final wealth accumulation.</t>
  </si>
  <si>
    <t xml:space="preserve">sip-mastery / sip-myths</t>
  </si>
  <si>
    <t xml:space="preserve">https://learning.stockstrail.in/courses/sip-mastery/sip-myths</t>
  </si>
  <si>
    <t xml:space="preserve">SIP Myths: 3 Common Misconceptions Busted | Stockstrail</t>
  </si>
  <si>
    <t xml:space="preserve">Does SIP guarantee profit? Is it only for small investors? Can you not stop it? Bust three common SIP myths in this free lesson.</t>
  </si>
  <si>
    <t xml:space="preserve">SIP myths</t>
  </si>
  <si>
    <t xml:space="preserve">does SIP guarantee returns; can I stop SIP anytime; SIP misconceptions</t>
  </si>
  <si>
    <t xml:space="preserve">3 Big SIP Myths — SIP Mastery: Compounding Your Way to Wealth | Stockstrail Learning</t>
  </si>
  <si>
    <t xml:space="preserve">Debunking the myths: SIP guarantees profits, SIP is only for small investors, and you cannot stop an ongoing SIP.</t>
  </si>
  <si>
    <t xml:space="preserve">insurance-fundamentals / term-vs-traditional</t>
  </si>
  <si>
    <t xml:space="preserve">https://learning.stockstrail.in/courses/insurance-fundamentals/term-vs-traditional</t>
  </si>
  <si>
    <t xml:space="preserve">Term vs Traditional Insurance Plans Explained | Stockstrail</t>
  </si>
  <si>
    <t xml:space="preserve">Pure-protection term insurance gives high cover at low cost. Learn why you should not mix investment with insurance and how traditional plans differ.</t>
  </si>
  <si>
    <t xml:space="preserve">term vs traditional insurance</t>
  </si>
  <si>
    <t xml:space="preserve">term insurance vs endowment; pure protection; insurance and investment</t>
  </si>
  <si>
    <t xml:space="preserve">Term vs Traditional Insurance — Insurance Decoded: Protect What Matters Most | Stockstrail Learning</t>
  </si>
  <si>
    <t xml:space="preserve">Pure protection term insurance gives high cover at low cost; do not mix investment with insurance.</t>
  </si>
  <si>
    <t xml:space="preserve">insurance-fundamentals / health-insurance-checklist</t>
  </si>
  <si>
    <t xml:space="preserve">https://learning.stockstrail.in/courses/insurance-fundamentals/health-insurance-checklist</t>
  </si>
  <si>
    <t xml:space="preserve">Health Insurance Checklist: What to Look For | Stockstrail</t>
  </si>
  <si>
    <t xml:space="preserve">Before you buy health insurance, check room rent limits, restoration benefit, pre-existing disease waiting periods and claim settlement ratio. Free checklist.</t>
  </si>
  <si>
    <t xml:space="preserve">health insurance checklist</t>
  </si>
  <si>
    <t xml:space="preserve">what to check before buying health insurance; room rent capping; restoration benefit</t>
  </si>
  <si>
    <t xml:space="preserve">Health Insurance Checklist — Insurance Decoded: Protect What Matters Most | Stockstrail Learning</t>
  </si>
  <si>
    <t xml:space="preserve">Look for zero room rent capping, restoration benefits, low pre-existing waiting periods, and high claim settlement ratios.</t>
  </si>
  <si>
    <t xml:space="preserve">stock-market-basics / what-is-a-stock</t>
  </si>
  <si>
    <t xml:space="preserve">https://learning.stockstrail.in/courses/stock-market-basics/what-is-a-stock</t>
  </si>
  <si>
    <t xml:space="preserve">What Is a Stock? Meaning for Beginners | Stockstrail</t>
  </si>
  <si>
    <t xml:space="preserve">A stock is an ownership share in a business, entitling you to a fraction of its profits and equity value. Learn how stocks work in this free beginner lesson.</t>
  </si>
  <si>
    <t xml:space="preserve">what is a stock</t>
  </si>
  <si>
    <t xml:space="preserve">what is a share; stock meaning; equity ownership</t>
  </si>
  <si>
    <t xml:space="preserve">What is a Stock? — Stock Market 101: How Equities Create Wealth | Stockstrail Learning</t>
  </si>
  <si>
    <t xml:space="preserve">A stock is an ownership share in a business, entitling you to a fraction of the company's profits and equity value.</t>
  </si>
  <si>
    <t xml:space="preserve">stock-market-basics / indices</t>
  </si>
  <si>
    <t xml:space="preserve">https://learning.stockstrail.in/courses/stock-market-basics/indices</t>
  </si>
  <si>
    <t xml:space="preserve">Sensex vs Nifty: Market Indices Explained | Stockstrail</t>
  </si>
  <si>
    <t xml:space="preserve">Sensex and Nifty 50 track India's top companies and act as market benchmarks. Learn how they are built and what they tell you about the market.</t>
  </si>
  <si>
    <t xml:space="preserve">Sensex vs Nifty</t>
  </si>
  <si>
    <t xml:space="preserve">what is Nifty 50; what is Sensex; stock market index India</t>
  </si>
  <si>
    <t xml:space="preserve">Understanding Sensex &amp; Nifty — Stock Market 101: How Equities Create Wealth | Stockstrail Learning</t>
  </si>
  <si>
    <t xml:space="preserve">Market benchmarks track the performance of top companies in India (Nifty 50 and BSE Sensex 30).</t>
  </si>
  <si>
    <t xml:space="preserve">demat-accounts-guide / demat-basics</t>
  </si>
  <si>
    <t xml:space="preserve">https://learning.stockstrail.in/courses/demat-accounts-guide/demat-basics</t>
  </si>
  <si>
    <t xml:space="preserve">What Is a Demat Account? How It Works | Stockstrail</t>
  </si>
  <si>
    <t xml:space="preserve">A Demat account holds your shares and securities in electronic form with NSDL or CDSL. Learn how it works and how it differs from a trading account.</t>
  </si>
  <si>
    <t xml:space="preserve">what is a demat account</t>
  </si>
  <si>
    <t xml:space="preserve">demat vs trading account; NSDL CDSL; demat account meaning</t>
  </si>
  <si>
    <t xml:space="preserve">What is a Demat Account? — Demat &amp; Trading Accounts: The Complete Walkthrough | Stockstrail Learning</t>
  </si>
  <si>
    <t xml:space="preserve">Demat holds your financial securities in dematerialized electronic form with NSDL or CDSL depositories.</t>
  </si>
  <si>
    <t xml:space="preserve">tax-saving-investments / 80c-breakdown</t>
  </si>
  <si>
    <t xml:space="preserve">https://learning.stockstrail.in/courses/tax-saving-investments/80c-breakdown</t>
  </si>
  <si>
    <t xml:space="preserve">Section 80C &amp; ELSS: Save Tax Under Old Regime | Stockstrail</t>
  </si>
  <si>
    <t xml:space="preserve">Section 80C allows deductions up to ₹1.5 lakh under the old tax regime, and ELSS has the shortest lock-in at 3 years. Learn how to use it wisely.</t>
  </si>
  <si>
    <t xml:space="preserve">Section 80C ELSS</t>
  </si>
  <si>
    <t xml:space="preserve">80C deduction limit; ELSS lock-in; tax saving old regime</t>
  </si>
  <si>
    <t xml:space="preserve">Section 80C &amp; ELSS — Smart Tax Planning: Keep More of What You Earn | Stockstrail Learning</t>
  </si>
  <si>
    <t xml:space="preserve">Section 80C offers deductions up to ₹1.5 lakh via ELSS mutual funds with the shortest lock-in period of 3 years.</t>
  </si>
  <si>
    <t xml:space="preserve">retirement-planning-101 / corpus-calc</t>
  </si>
  <si>
    <t xml:space="preserve">https://learning.stockstrail.in/courses/retirement-planning-101/corpus-calc</t>
  </si>
  <si>
    <t xml:space="preserve">How to Calculate Your Retirement Corpus | Stockstrail</t>
  </si>
  <si>
    <t xml:space="preserve">Factor in inflation, post-retirement expenses and life expectancy to arrive at your retirement corpus, your financial freedom number. Free lesson.</t>
  </si>
  <si>
    <t xml:space="preserve">retirement corpus calculation</t>
  </si>
  <si>
    <t xml:space="preserve">how much corpus for retirement; freedom number; retirement planning India</t>
  </si>
  <si>
    <t xml:space="preserve">Calculating Your Corpus — Retirement Planning: Build Your Financial Freedom Corpus | Stockstrail Learning</t>
  </si>
  <si>
    <t xml:space="preserve">Factoring inflation, monthly post-retirement expenditure, and life expectancy to arrive at your freedom number.</t>
  </si>
  <si>
    <t xml:space="preserve">financial-planning-basics / hierarchy-of-needs</t>
  </si>
  <si>
    <t xml:space="preserve">https://learning.stockstrail.in/courses/financial-planning-basics/hierarchy-of-needs</t>
  </si>
  <si>
    <t xml:space="preserve">Financial Planning Steps: Where to Start | Stockstrail</t>
  </si>
  <si>
    <t xml:space="preserve">Start with an emergency fund and life and health insurance before volatile market investments. Learn the financial hierarchy of needs in this free lesson.</t>
  </si>
  <si>
    <t xml:space="preserve">financial planning steps</t>
  </si>
  <si>
    <t xml:space="preserve">emergency fund before investing; financial hierarchy of needs</t>
  </si>
  <si>
    <t xml:space="preserve">Financial Hierarchy of Needs — Financial Planning Foundations | Stockstrail Learning</t>
  </si>
  <si>
    <t xml:space="preserve">Start with emergency funds and life/health insurance before jumping into volatile market investments.</t>
  </si>
  <si>
    <t xml:space="preserve">goal-based-investing / time-horizons</t>
  </si>
  <si>
    <t xml:space="preserve">https://learning.stockstrail.in/courses/goal-based-investing/time-horizons</t>
  </si>
  <si>
    <t xml:space="preserve">Short, Medium &amp; Long-Term Investment Options | Stockstrail</t>
  </si>
  <si>
    <t xml:space="preserve">Short-term goals under 3 years suit liquid or debt funds, medium-term goals hybrid funds and long-term goals (7+ years) diversified equity. Learn why.</t>
  </si>
  <si>
    <t xml:space="preserve">investment options by time horizon</t>
  </si>
  <si>
    <t xml:space="preserve">short term vs long term investment; asset allocation by goal</t>
  </si>
  <si>
    <t xml:space="preserve">Matching Horizons to Assets — Goal-Based Investing: From Dreams to Numbers | Stockstrail Learning</t>
  </si>
  <si>
    <t xml:space="preserve">Short term (&lt;3 yrs) in liquid/debt, medium term (3-7 yrs) in hybrid, and long term (7+ yrs) in diversified equity.</t>
  </si>
  <si>
    <t xml:space="preserve">fixed-deposits-explained / fd-laddering</t>
  </si>
  <si>
    <t xml:space="preserve">https://learning.stockstrail.in/courses/fixed-deposits-explained/fd-laddering</t>
  </si>
  <si>
    <t xml:space="preserve">FD Laddering Strategy: How It Works | Stockstrail</t>
  </si>
  <si>
    <t xml:space="preserve">Split a lump sum across FDs of different maturities to keep liquidity while locking in higher rates. Learn how FD laddering works in this free lesson.</t>
  </si>
  <si>
    <t xml:space="preserve">FD laddering</t>
  </si>
  <si>
    <t xml:space="preserve">fixed deposit ladder; FD strategy; FD maturity planning</t>
  </si>
  <si>
    <t xml:space="preserve">FD Laddering Strategy — Fixed Deposits: Safe Returns &amp; Smart Strategies | Stockstrail Learning</t>
  </si>
  <si>
    <t xml:space="preserve">Split your lump sum across multiple maturity durations to maintain liquidity while locking in higher rates.</t>
  </si>
  <si>
    <t xml:space="preserve">personal-finance-foundations / budget-50-30-20</t>
  </si>
  <si>
    <t xml:space="preserve">https://learning.stockstrail.in/courses/personal-finance-foundations/budget-50-30-20</t>
  </si>
  <si>
    <t xml:space="preserve">50/30/20 Budget Rule Explained for India | Stockstrail</t>
  </si>
  <si>
    <t xml:space="preserve">Spend 50% on needs and 30% on wants, and save at least 20%. Learn how to apply the 50/30/20 budgeting rule on an Indian salary in this free lesson.</t>
  </si>
  <si>
    <t xml:space="preserve">50/30/20 rule</t>
  </si>
  <si>
    <t xml:space="preserve">50 30 20 budget India; budgeting for salaried; savings rule</t>
  </si>
  <si>
    <t xml:space="preserve">The 50/30/20 Rule — Personal Finance 101: Master Your Daily Money | Stockstrail Learning</t>
  </si>
  <si>
    <t xml:space="preserve">50% for Needs, 30% for Wants, and at least 20% strictly dedicated to savings and wealth creation.</t>
  </si>
  <si>
    <t xml:space="preserve">loans-decoded / how-emi-splits</t>
  </si>
  <si>
    <t xml:space="preserve">https://learning.stockstrail.in/courses/loans-decoded/how-emi-splits</t>
  </si>
  <si>
    <t xml:space="preserve">How EMI Works: Interest vs Principal Split | Stockstrail</t>
  </si>
  <si>
    <t xml:space="preserve">In the early years of a loan, most of each EMI goes to interest, not principal. Learn how an EMI splits over time and why prepayment helps.</t>
  </si>
  <si>
    <t xml:space="preserve">how EMI is calculated</t>
  </si>
  <si>
    <t xml:space="preserve">EMI interest and principal split; loan amortization; prepayment</t>
  </si>
  <si>
    <t xml:space="preserve">How EMI Splits — Loans &amp; Credit: Borrow Smart, Repay Faster | Stockstrail Learning</t>
  </si>
  <si>
    <t xml:space="preserve">In the early years of a loan, most of your EMI goes toward interest rather than principal reduction.</t>
  </si>
  <si>
    <t xml:space="preserve">Keyword map: where each target keyword should live</t>
  </si>
  <si>
    <t xml:space="preserve">IMPORTANT: Demand and competition are directional estimates from the search results I could see (who ranks) and normal Indian search behaviour. I did not have Google Keyword Planner, Semrush or Search Console data, so there are no exact monthly volumes. Validate in Search Console (your own impressions) and Keyword Planner before committing effort. 'Winnability' = realistic chance for a small, new site: Quick win / Good / Long game / Defend.</t>
  </si>
  <si>
    <t xml:space="preserve">Cluster</t>
  </si>
  <si>
    <t xml:space="preserve">Target keyword</t>
  </si>
  <si>
    <t xml:space="preserve">Est. demand (India)</t>
  </si>
  <si>
    <t xml:space="preserve">Est. competition</t>
  </si>
  <si>
    <t xml:space="preserve">Winnability</t>
  </si>
  <si>
    <t xml:space="preserve">Target page</t>
  </si>
  <si>
    <t xml:space="preserve">Action</t>
  </si>
  <si>
    <t xml:space="preserve">Stockstrail</t>
  </si>
  <si>
    <t xml:space="preserve">Low</t>
  </si>
  <si>
    <t xml:space="preserve">Defend</t>
  </si>
  <si>
    <t xml:space="preserve">Home, About, GBP, LinkedIn</t>
  </si>
  <si>
    <t xml:space="preserve">Own the whole first page: Home, About, learning subdomain, Google Business Profile, LinkedIn, Facebook, Instagram, Telegram and any AMFI/directory listing, all with identical name + ARN.</t>
  </si>
  <si>
    <t xml:space="preserve">Vikrant Bhardwaj Stockstrail / ARN-284122</t>
  </si>
  <si>
    <t xml:space="preserve">About</t>
  </si>
  <si>
    <t xml:space="preserve">Person schema + a dedicated author page listing credentials; reuse the same bio everywhere.</t>
  </si>
  <si>
    <t xml:space="preserve">Local</t>
  </si>
  <si>
    <t xml:space="preserve">mutual fund distributor in Himachal Pradesh</t>
  </si>
  <si>
    <t xml:space="preserve">Local commercial</t>
  </si>
  <si>
    <t xml:space="preserve">Quick win</t>
  </si>
  <si>
    <t xml:space="preserve">NEW: /financial-planning-himachal-pradesh (+ Home)</t>
  </si>
  <si>
    <t xml:space="preserve">One strong hub with unique local content (govt-employee scenarios, district notes, your Chintpurni office, local reviews). Avoid 12 near-identical district blocks/pages.</t>
  </si>
  <si>
    <t xml:space="preserve">financial planner Himachal Pradesh / Una / Kangra / Dharamshala / Shimla</t>
  </si>
  <si>
    <t xml:space="preserve">Same hub + short city sections</t>
  </si>
  <si>
    <t xml:space="preserve">Confirm 'advisor/planner' wording with compliance first (Fix List F7).</t>
  </si>
  <si>
    <t xml:space="preserve">mutual fund distributor near me / Chintpurni</t>
  </si>
  <si>
    <t xml:space="preserve">Medium</t>
  </si>
  <si>
    <t xml:space="preserve">Google Business Profile + About</t>
  </si>
  <si>
    <t xml:space="preserve">Complete the GBP (closest category, photos, hours, services, Q&amp;A), collect real reviews, keep NAP identical to the site.</t>
  </si>
  <si>
    <t xml:space="preserve">Mutual funds</t>
  </si>
  <si>
    <t xml:space="preserve">High</t>
  </si>
  <si>
    <t xml:space="preserve">Long game</t>
  </si>
  <si>
    <t xml:space="preserve">/services/mutual-funds</t>
  </si>
  <si>
    <t xml:space="preserve">Support with the beginner pillar + internal links from every chapter.</t>
  </si>
  <si>
    <t xml:space="preserve">Very High</t>
  </si>
  <si>
    <t xml:space="preserve">Blog #12</t>
  </si>
  <si>
    <t xml:space="preserve">Flagship of the pillar page; numbered steps; answer-first intro; strong CTA to /services/mutual-funds.</t>
  </si>
  <si>
    <t xml:space="preserve">Good</t>
  </si>
  <si>
    <t xml:space="preserve">Blog #5 (+ learning lesson)</t>
  </si>
  <si>
    <t xml:space="preserve">Fix the raw-slug title now; add a comparison table of categories.</t>
  </si>
  <si>
    <t xml:space="preserve">Informational / comparison</t>
  </si>
  <si>
    <t xml:space="preserve">Blog #16 (lesson links to it)</t>
  </si>
  <si>
    <t xml:space="preserve">Add a comparison table and embed both calculators.</t>
  </si>
  <si>
    <t xml:space="preserve">Learning lesson + blog FAQ</t>
  </si>
  <si>
    <t xml:space="preserve">Your edge is honesty: explain the commission difference openly (trust + E-E-A-T).</t>
  </si>
  <si>
    <t xml:space="preserve">mutual fund taxation 2026 / LTCG STCG</t>
  </si>
  <si>
    <t xml:space="preserve">Blog #14</t>
  </si>
  <si>
    <t xml:space="preserve">Date-stamp and cite the Income Tax Department / Finance Act; refresh after every Budget.</t>
  </si>
  <si>
    <t xml:space="preserve">Blog #8</t>
  </si>
  <si>
    <t xml:space="preserve">Open with a 2-sentence direct answer; then risks, Riskometer, diversification.</t>
  </si>
  <si>
    <t xml:space="preserve">how much return do mutual funds give</t>
  </si>
  <si>
    <t xml:space="preserve">Blog #10</t>
  </si>
  <si>
    <t xml:space="preserve">Keep it qualitative with disclaimers; link to the SIP calculator.</t>
  </si>
  <si>
    <t xml:space="preserve">News</t>
  </si>
  <si>
    <t xml:space="preserve">SEBI mutual fund nomination rules</t>
  </si>
  <si>
    <t xml:space="preserve">News / informational</t>
  </si>
  <si>
    <t xml:space="preserve">Medium (spike)</t>
  </si>
  <si>
    <t xml:space="preserve">Blog #18</t>
  </si>
  <si>
    <t xml:space="preserve">Rewrite now as a 'how to add a nominee' guide since the 1 Sept date has passed.</t>
  </si>
  <si>
    <t xml:space="preserve">step up SIP calculator</t>
  </si>
  <si>
    <t xml:space="preserve">/calculators/sip (optional /calculators/step-up-sip)</t>
  </si>
  <si>
    <t xml:space="preserve">Feature already exists: put it in the title/H1 and add a worked example.</t>
  </si>
  <si>
    <t xml:space="preserve">SIP calculator with inflation</t>
  </si>
  <si>
    <t xml:space="preserve">/calculators/sip</t>
  </si>
  <si>
    <t xml:space="preserve">Add an inflation-adjusted toggle. Competitor sipcalculator.in lists this among its top organic keywords (Semrush).</t>
  </si>
  <si>
    <t xml:space="preserve">Dominated by Groww, ET Money, ClearTax, AMC sites. Win the long-tails above first.</t>
  </si>
  <si>
    <t xml:space="preserve">/calculators/lumpsum</t>
  </si>
  <si>
    <t xml:space="preserve">Add a 'compare with SIP' panel.</t>
  </si>
  <si>
    <t xml:space="preserve">/calculators/fd</t>
  </si>
  <si>
    <t xml:space="preserve">Differentiate: cumulative vs payout, senior-citizen rate, TDS estimate.</t>
  </si>
  <si>
    <t xml:space="preserve">/calculators/rd</t>
  </si>
  <si>
    <t xml:space="preserve">Check quarterly-compounding logic.</t>
  </si>
  <si>
    <t xml:space="preserve">/calculators/emi</t>
  </si>
  <si>
    <t xml:space="preserve">Add prepayment and part-payment options to stand out.</t>
  </si>
  <si>
    <t xml:space="preserve">income tax calculator FY 2026-27 / old vs new regime</t>
  </si>
  <si>
    <t xml:space="preserve">Very High (Jan-Jul peak)</t>
  </si>
  <si>
    <t xml:space="preserve">/calculators/tax</t>
  </si>
  <si>
    <t xml:space="preserve">Fresh-year pages win: keep FY 2026-27 in title/H1 and update every Budget.</t>
  </si>
  <si>
    <t xml:space="preserve">SWP / PPF / NPS / retirement / CAGR / gratuity / HRA calculators</t>
  </si>
  <si>
    <t xml:space="preserve">Good (build)</t>
  </si>
  <si>
    <t xml:space="preserve">NEW pages under /calculators/</t>
  </si>
  <si>
    <t xml:space="preserve">Prioritise SWP (fills the empty SWP learning category) and retirement (ties to your retirement course).</t>
  </si>
  <si>
    <t xml:space="preserve">Loans</t>
  </si>
  <si>
    <t xml:space="preserve">/services/loan</t>
  </si>
  <si>
    <t xml:space="preserve">Add a 'What changed in 2026' block (RBI rules of 13 Feb 2026; ₹1 crore cap effective July 2026).</t>
  </si>
  <si>
    <t xml:space="preserve">loan against mutual funds interest rate</t>
  </si>
  <si>
    <t xml:space="preserve">/services/loan (section)</t>
  </si>
  <si>
    <t xml:space="preserve">Publish a dated range (market roughly 8-13% p.a.) with 'varies by lender, LTV and fund type'.</t>
  </si>
  <si>
    <t xml:space="preserve">LAMF vs personal loan</t>
  </si>
  <si>
    <t xml:space="preserve">Comparison</t>
  </si>
  <si>
    <t xml:space="preserve">NEW blog post</t>
  </si>
  <si>
    <t xml:space="preserve">Comparison table (rate, LTV, repayment, risks) + CTA.</t>
  </si>
  <si>
    <t xml:space="preserve">Fixed deposits</t>
  </si>
  <si>
    <t xml:space="preserve">Learning lesson + blog</t>
  </si>
  <si>
    <t xml:space="preserve">Show a ladder example in a table.</t>
  </si>
  <si>
    <t xml:space="preserve">bank FD vs corporate FD / FD vs SIP</t>
  </si>
  <si>
    <t xml:space="preserve">NEW comparison blog/page</t>
  </si>
  <si>
    <t xml:space="preserve">Mirrors the FAQ already on your home page ('SIP or FD?').</t>
  </si>
  <si>
    <t xml:space="preserve">fixed deposit interest rates 2026</t>
  </si>
  <si>
    <t xml:space="preserve">/services/fixed-deposit</t>
  </si>
  <si>
    <t xml:space="preserve">Do not chase the head term (banks and aggregators own it); win FD-vs and ladder queries.</t>
  </si>
  <si>
    <t xml:space="preserve">Insurance</t>
  </si>
  <si>
    <t xml:space="preserve">Blog #7</t>
  </si>
  <si>
    <t xml:space="preserve">Comparison table + CSR source citation (IRDAI) for AI Overviews.</t>
  </si>
  <si>
    <t xml:space="preserve">health insurance checklist / what to check before buying</t>
  </si>
  <si>
    <t xml:space="preserve">Checklist format wins snippets.</t>
  </si>
  <si>
    <t xml:space="preserve">Market tools</t>
  </si>
  <si>
    <t xml:space="preserve">NSE holidays 2026 / stock market holidays 2026</t>
  </si>
  <si>
    <t xml:space="preserve">/nse-holidays</t>
  </si>
  <si>
    <t xml:space="preserve">Answer-first summary + table; keep updated; add 2027 list in Dec.</t>
  </si>
  <si>
    <t xml:space="preserve">is share market open today</t>
  </si>
  <si>
    <t xml:space="preserve">Informational (daily)</t>
  </si>
  <si>
    <t xml:space="preserve">Live open/closed status block at the top of the page.</t>
  </si>
  <si>
    <t xml:space="preserve">muhurat trading 2026</t>
  </si>
  <si>
    <t xml:space="preserve">Informational (seasonal)</t>
  </si>
  <si>
    <t xml:space="preserve">Medium (spike to 8 Nov)</t>
  </si>
  <si>
    <t xml:space="preserve">Quick win - NOW</t>
  </si>
  <si>
    <t xml:space="preserve">/nse-holidays (section) + short post</t>
  </si>
  <si>
    <t xml:space="preserve">Publish before 8 Nov 2026; add the exchange-announced timing as soon as NSE/BSE release it.</t>
  </si>
  <si>
    <t xml:space="preserve">/bse-holidays</t>
  </si>
  <si>
    <t xml:space="preserve">Cross-link with NSE page.</t>
  </si>
  <si>
    <t xml:space="preserve">Tools</t>
  </si>
  <si>
    <t xml:space="preserve">investor risk profile test / risk profile questionnaire</t>
  </si>
  <si>
    <t xml:space="preserve">/check-risk-profile</t>
  </si>
  <si>
    <t xml:space="preserve">Add result-page content and a disclaimer (indicative, not advice).</t>
  </si>
  <si>
    <t xml:space="preserve">Learning</t>
  </si>
  <si>
    <t xml:space="preserve">50/30/20 rule India</t>
  </si>
  <si>
    <t xml:space="preserve">Learning lesson</t>
  </si>
  <si>
    <t xml:space="preserve">Add an Indian salary example table.</t>
  </si>
  <si>
    <t xml:space="preserve">how EMI is calculated / interest vs principal split</t>
  </si>
  <si>
    <t xml:space="preserve">Learning lesson + EMI calculator</t>
  </si>
  <si>
    <t xml:space="preserve">Link lesson &lt;-&gt; calculator.</t>
  </si>
  <si>
    <t xml:space="preserve">Worked 6-month example table.</t>
  </si>
  <si>
    <t xml:space="preserve">Salary</t>
  </si>
  <si>
    <t xml:space="preserve">how much SIP should I start with my salary</t>
  </si>
  <si>
    <t xml:space="preserve">Blog #15 + NEW national version</t>
  </si>
  <si>
    <t xml:space="preserve">Generalise your HP income tables into a national 'SIP by salary' page.</t>
  </si>
  <si>
    <t xml:space="preserve">Demat</t>
  </si>
  <si>
    <t xml:space="preserve">Transactional</t>
  </si>
  <si>
    <t xml:space="preserve">/services/open-demat</t>
  </si>
  <si>
    <t xml:space="preserve">Target long-tails: documents required, demat charges, zero AMC, NRI/minor accounts.</t>
  </si>
  <si>
    <t xml:space="preserve">Fix list: issues found on the live site, in priority order</t>
  </si>
  <si>
    <t xml:space="preserve">IDs (F1, F7 ...) are referenced from the notes on the Meta sheets. P1 = do first. Compliance items are flags for review by a qualified professional, not legal advice.</t>
  </si>
  <si>
    <t xml:space="preserve">ID</t>
  </si>
  <si>
    <t xml:space="preserve">Area</t>
  </si>
  <si>
    <t xml:space="preserve">Issue</t>
  </si>
  <si>
    <t xml:space="preserve">Where / evidence</t>
  </si>
  <si>
    <t xml:space="preserve">Recommended fix</t>
  </si>
  <si>
    <t xml:space="preserve">Owner</t>
  </si>
  <si>
    <t xml:space="preserve">F1</t>
  </si>
  <si>
    <t xml:space="preserve">Title tags</t>
  </si>
  <si>
    <t xml:space="preserve">Brand name appears twice in the rendered &lt;title&gt; on many pages.</t>
  </si>
  <si>
    <t xml:space="preserve">Live pages: /services/mutual-funds, /blog, /calculators/sip all end '| Stockstrail | Stockstrail'. Home and About render correctly.</t>
  </si>
  <si>
    <t xml:space="preserve">Use a title template ('%s | Stockstrail') and remove '| Stockstrail' from per-page titles, or set an absolute title on pages that already contain the brand.</t>
  </si>
  <si>
    <t xml:space="preserve">Developer</t>
  </si>
  <si>
    <t xml:space="preserve">F2</t>
  </si>
  <si>
    <t xml:space="preserve">Deployment</t>
  </si>
  <si>
    <t xml:space="preserve">Your sheet and the live site disagree on some metadata.</t>
  </si>
  <si>
    <t xml:space="preserve">About live title: 'About Us | Stockstrail — Founder, Certifications &amp; Our Approach'; Blog live title: 'Financial Insights &amp; Investment Strategies Blog | Stockstrail | Stockstrail'. Your sheet lists different values.</t>
  </si>
  <si>
    <t xml:space="preserve">Confirm which version is deployed, purge CDN/ISR cache, then treat the final sheet as the single source of truth.</t>
  </si>
  <si>
    <t xml:space="preserve">F3</t>
  </si>
  <si>
    <t xml:space="preserve">Gated pages are indexable and carry the home-page description.</t>
  </si>
  <si>
    <t xml:space="preserve">/sign-in and /complete-profile are 'index, follow' with inherited root meta (your sheet).</t>
  </si>
  <si>
    <t xml:space="preserve">Set robots to noindex,nofollow and remove both from the XML sitemap.</t>
  </si>
  <si>
    <t xml:space="preserve">F4</t>
  </si>
  <si>
    <t xml:space="preserve">A blog post title is a raw slug.</t>
  </si>
  <si>
    <t xml:space="preserve">Blog #5: 'Stockstrail-Mutual-Funds-Chapter-4 | Stockstrail'.</t>
  </si>
  <si>
    <t xml:space="preserve">Replace with the new title (see Meta - Main Site).</t>
  </si>
  <si>
    <t xml:space="preserve">Content</t>
  </si>
  <si>
    <t xml:space="preserve">F5</t>
  </si>
  <si>
    <t xml:space="preserve">Content freshness</t>
  </si>
  <si>
    <t xml:space="preserve">Time-bound article now reads as out of date.</t>
  </si>
  <si>
    <t xml:space="preserve">Blog #18 says 'Before September 1' but today is 9 Oct 2026.</t>
  </si>
  <si>
    <t xml:space="preserve">Rewrite as a 'how to add a nominee now' guide, re-verify against the SEBI circular, add 'Last updated'.</t>
  </si>
  <si>
    <t xml:space="preserve">F6</t>
  </si>
  <si>
    <t xml:space="preserve">Compliance / trust</t>
  </si>
  <si>
    <t xml:space="preserve">Fee and commission claims contradict your own disclosure.</t>
  </si>
  <si>
    <t xml:space="preserve">SIP calculator page: '100% Free Advice', 'zero distributor markups', 'Direct AMC Execution', 'zero advisory fees', 'Zero-commission direct AMC investment', footer 'unbiased advice'. Home disclosure: 'we receive commissions from AMCs'. MF page FAQ: Regular plans include distribution expenses.</t>
  </si>
  <si>
    <t xml:space="preserve">Make every page consistent with the commission disclosure. Remove absolute claims ('zero', 'unbiased', 'top-performing'). Have a compliance professional review.</t>
  </si>
  <si>
    <t xml:space="preserve">Founder + compliance</t>
  </si>
  <si>
    <t xml:space="preserve">F7</t>
  </si>
  <si>
    <t xml:space="preserve">Titles such as 'advisor', 'SEBI-certified' and a 'SEBI Registered' label may mislead.</t>
  </si>
  <si>
    <t xml:space="preserve">About page: label 'SEBI Registered' beside a SEBI Investor Certification exam certificate; 'SEBI-Certified Advisor'; footer 'Founder &amp; Principal Advisor'; 'certified financial advisor'.</t>
  </si>
  <si>
    <t xml:space="preserve">You are an AMFI-registered mutual fund distributor (ARN-284122). An exam certificate is not SEBI registration. Use 'AMFI-registered mutual fund distributor' and have compliance confirm whether 'advisor/advisory' wording is acceptable. I am not a lawyer; please verify.</t>
  </si>
  <si>
    <t xml:space="preserve">F8</t>
  </si>
  <si>
    <t xml:space="preserve">Regulatory disclosures</t>
  </si>
  <si>
    <t xml:space="preserve">Disclosures for insurance, loans and Demat were not visible on the pages I read.</t>
  </si>
  <si>
    <t xml:space="preserve">Pages I read show only AMFI / NISM / SEBI-exam credentials. An AMFI ARN does not cover insurance distribution, loan sourcing or broker referrals.</t>
  </si>
  <si>
    <t xml:space="preserve">On each of those service pages show the relevant licence / partner status (for example IRDAI licence or POSP details, lending partners, broker partner relationship) next to the CTA.</t>
  </si>
  <si>
    <t xml:space="preserve">F9</t>
  </si>
  <si>
    <t xml:space="preserve">Internal links</t>
  </si>
  <si>
    <t xml:space="preserve">Footers/body links point to non-canonical or noindex URLs.</t>
  </si>
  <si>
    <t xml:space="preserve">About links: /mutual-funds, /fixed-deposit, /insurance, /loan, /risk-profile. Blog footer: /mutual-funds, /fixed-deposit, /insurance, /loan, /open-demat, /financial-protection, /learning. MF page links /risk-profile (noindex). About/Blog 'Learn' link uses www.learning.stockstrail.in.</t>
  </si>
  <si>
    <t xml:space="preserve">Link straight to canonicals: /services/..., /check-risk-profile, https://learning.stockstrail.in. Avoid relying on redirects.</t>
  </si>
  <si>
    <t xml:space="preserve">F10</t>
  </si>
  <si>
    <t xml:space="preserve">Duplicate topics</t>
  </si>
  <si>
    <t xml:space="preserve">Two near-identical learning categories.</t>
  </si>
  <si>
    <t xml:space="preserve">/categories/personal-finance-basics and /categories/personal-finance.</t>
  </si>
  <si>
    <t xml:space="preserve">Merge into one category and 301 the other.</t>
  </si>
  <si>
    <t xml:space="preserve">F11</t>
  </si>
  <si>
    <t xml:space="preserve">Thin pages</t>
  </si>
  <si>
    <t xml:space="preserve">Empty category page.</t>
  </si>
  <si>
    <t xml:space="preserve">/categories/swp has no matching course.</t>
  </si>
  <si>
    <t xml:space="preserve">noindex until an SWP course exists (then build an SWP calculator too).</t>
  </si>
  <si>
    <t xml:space="preserve">F12</t>
  </si>
  <si>
    <t xml:space="preserve">Fact consistency</t>
  </si>
  <si>
    <t xml:space="preserve">The same fact differs between pages.</t>
  </si>
  <si>
    <t xml:space="preserve">'40+ AMCs' (Home) vs '25+ AMCs' (About). FD 'up to 7.5%' (About) vs 'up to 9.1%' (SIP page). LAMF 'from 9%' (meta) vs 'from 9.5%' (SIP page).</t>
  </si>
  <si>
    <t xml:space="preserve">Keep one dated, sourced number in one place and reference it everywhere. Inconsistent facts hurt trust and AI answer extraction.</t>
  </si>
  <si>
    <t xml:space="preserve">F13</t>
  </si>
  <si>
    <t xml:space="preserve">URLs</t>
  </si>
  <si>
    <t xml:space="preserve">Very long, typo or keyword-stuffed blog slugs.</t>
  </si>
  <si>
    <t xml:space="preserve">IT layoffs post slug = 166 characters; term-vs-life = 92; India VIX slug has 'why-stockstrail-track-it-every-single-day'; 'emplyoee' typo; 'chapter-N' and '-stockstrail' suffixes; 'beginner-s'.</t>
  </si>
  <si>
    <t xml:space="preserve">Create short slugs for the worst offenders, 301 old to new, update canonicals, sitemap and internal links. Leave good URLs alone.</t>
  </si>
  <si>
    <t xml:space="preserve">F14</t>
  </si>
  <si>
    <t xml:space="preserve">Topical authority</t>
  </si>
  <si>
    <t xml:space="preserve">Chapter series is scattered.</t>
  </si>
  <si>
    <t xml:space="preserve">Posts titled Chapter 2-9 (and FAQs) are not tied together.</t>
  </si>
  <si>
    <t xml:space="preserve">Build a pillar page 'Mutual Funds Guide for Beginners' linking all chapters, with next/previous links in each chapter.</t>
  </si>
  <si>
    <t xml:space="preserve">F15</t>
  </si>
  <si>
    <t xml:space="preserve">E-E-A-T</t>
  </si>
  <si>
    <t xml:space="preserve">No visible author/reviewer layer on articles.</t>
  </si>
  <si>
    <t xml:space="preserve">Blog pages I read show no byline or review date.</t>
  </si>
  <si>
    <t xml:space="preserve">Add author byline linking to a Vikrant Bhardwaj profile (credentials: AMFI ARN, NISM V-A), 'Last reviewed' date, and primary sources (SEBI, AMFI, RBI, NSE, IRDAI) on every article.</t>
  </si>
  <si>
    <t xml:space="preserve">F16</t>
  </si>
  <si>
    <t xml:space="preserve">Structured data</t>
  </si>
  <si>
    <t xml:space="preserve">Schema coverage unknown/incomplete.</t>
  </si>
  <si>
    <t xml:space="preserve">Not verified for every page.</t>
  </si>
  <si>
    <t xml:space="preserve">Add Organization/FinancialService + WebSite + BreadcrumbList site-wide; BlogPosting on articles; WebApplication on calculators; Course on learning courses; Person for the founder. Do NOT mark up your own testimonials as AggregateRating (self-serving reviews are not eligible).</t>
  </si>
  <si>
    <t xml:space="preserve">F17</t>
  </si>
  <si>
    <t xml:space="preserve">Rendering</t>
  </si>
  <si>
    <t xml:space="preserve">FAQ answers did not appear in the fetched page text.</t>
  </si>
  <si>
    <t xml:space="preserve">On Home, About and SIP Calculator the FAQ questions were visible but the answers were not in the text I could fetch (likely collapsed accordions).</t>
  </si>
  <si>
    <t xml:space="preserve">In Search Console use URL Inspection &gt; View crawled page to confirm the answers are in the server-rendered HTML. If not, render them server-side.</t>
  </si>
  <si>
    <t xml:space="preserve">F18</t>
  </si>
  <si>
    <t xml:space="preserve">Social / OG</t>
  </si>
  <si>
    <t xml:space="preserve">Same OG image everywhere; one page has none.</t>
  </si>
  <si>
    <t xml:space="preserve">og-stockstrail.png (1100x630) on all pages; /services/mutual-funds meta shows no og:image.</t>
  </si>
  <si>
    <t xml:space="preserve">Use 1200x630 images, ideally per page type (service, calculator, blog, course), with og:image on every page.</t>
  </si>
  <si>
    <t xml:space="preserve">Design + developer</t>
  </si>
  <si>
    <t xml:space="preserve">F19</t>
  </si>
  <si>
    <t xml:space="preserve">Meta keywords</t>
  </si>
  <si>
    <t xml:space="preserve">meta keywords tag is present.</t>
  </si>
  <si>
    <t xml:space="preserve">Google ignores it.</t>
  </si>
  <si>
    <t xml:space="preserve">Optional: remove from the template to reduce noise. No SEO benefit either way.</t>
  </si>
  <si>
    <t xml:space="preserve">F20</t>
  </si>
  <si>
    <t xml:space="preserve">Local SEO</t>
  </si>
  <si>
    <t xml:space="preserve">Local signals are thin.</t>
  </si>
  <si>
    <t xml:space="preserve">About page repeats the same sentence for 12 districts; I could not see a Google Business Profile in my checks.</t>
  </si>
  <si>
    <t xml:space="preserve">Claim/optimise the Google Business Profile (Moien, Chintpurni, HP 177110), keep NAP identical everywhere, collect genuine reviews, and build ONE Himachal hub page with unique local content.</t>
  </si>
  <si>
    <t xml:space="preserve">Founder</t>
  </si>
  <si>
    <t xml:space="preserve">F21</t>
  </si>
  <si>
    <t xml:space="preserve">Architecture</t>
  </si>
  <si>
    <t xml:space="preserve">Learning content lives on a subdomain.</t>
  </si>
  <si>
    <t xml:space="preserve">learning.stockstrail.in is canonical; /learning on the main site 301s to it.</t>
  </si>
  <si>
    <t xml:space="preserve">Consider consolidating under stockstrail.in/learn in future so authority accrues to one host. If you keep the subdomain, link to it prominently and mirror brand/entity schema.</t>
  </si>
  <si>
    <t xml:space="preserve">Founder + developer</t>
  </si>
  <si>
    <t xml:space="preserve">F22</t>
  </si>
  <si>
    <t xml:space="preserve">Seasonal</t>
  </si>
  <si>
    <t xml:space="preserve">Time-sensitive opportunities.</t>
  </si>
  <si>
    <t xml:space="preserve">Muhurat Trading is Sunday 8 Nov 2026; NSE/BSE 2027 holiday lists usually appear mid/late Dec; tax pages peak Jan-Jul.</t>
  </si>
  <si>
    <t xml:space="preserve">Publish the Muhurat section now, the 2027 holiday pages in Dec, and refresh tax/FD/LAMF pages each Budget or RBI/SEBI change.</t>
  </si>
  <si>
    <t xml:space="preserve">F23</t>
  </si>
  <si>
    <t xml:space="preserve">Crawling</t>
  </si>
  <si>
    <t xml:space="preserve">Robots.txt, sitemap and AI-crawler rules not verified.</t>
  </si>
  <si>
    <t xml:space="preserve">I could not fetch these files.</t>
  </si>
  <si>
    <t xml:space="preserve">Check robots.txt (allow Googlebot; decide on GPTBot, OAI-SearchBot, ClaudeBot, PerplexityBot), keep the XML sitemap to indexable canonical URLs only, and submit it in Google Search Console and Bing Webmaster Tools.</t>
  </si>
  <si>
    <t xml:space="preserve">F24</t>
  </si>
  <si>
    <t xml:space="preserve">Content roadmap</t>
  </si>
  <si>
    <t xml:space="preserve">High-demand calculator and comparison gaps.</t>
  </si>
  <si>
    <t xml:space="preserve">See Keyword Map: SWP, PPF, NPS, retirement, CAGR calculators; FD vs SIP; LAMF vs personal loan.</t>
  </si>
  <si>
    <t xml:space="preserve">Add in the order shown in the Keyword Map.</t>
  </si>
  <si>
    <t xml:space="preserve">AEO / GEO playbook: being the source AI answers and Google quote</t>
  </si>
  <si>
    <t xml:space="preserve">Google states that optimising for AI Overviews and AI Mode is still SEO, so most of this is about being clear, consistent, fresh and trustworthy.</t>
  </si>
  <si>
    <t xml:space="preserve">Lever</t>
  </si>
  <si>
    <t xml:space="preserve">What to do</t>
  </si>
  <si>
    <t xml:space="preserve">Where on Stockstrail</t>
  </si>
  <si>
    <t xml:space="preserve">Why it matters</t>
  </si>
  <si>
    <t xml:space="preserve">1</t>
  </si>
  <si>
    <t xml:space="preserve">Treat AEO/GEO as SEO</t>
  </si>
  <si>
    <t xml:space="preserve">Google's guide 'Optimizing your website for generative AI features on Google Search' (15 May 2026) treats AI Overviews/AI Mode as ordinary SEO: same index, no extra files or special markup required for Google.</t>
  </si>
  <si>
    <t xml:space="preserve">Whole site</t>
  </si>
  <si>
    <t xml:space="preserve">Prioritise crawlable, indexable, genuinely helpful pages over 'AI tricks'.</t>
  </si>
  <si>
    <t xml:space="preserve">2</t>
  </si>
  <si>
    <t xml:space="preserve">Answer-first writing</t>
  </si>
  <si>
    <t xml:space="preserve">Under every question heading put a direct 40-60 word answer first, then the detail, table or example.</t>
  </si>
  <si>
    <t xml:space="preserve">FAQs, blog posts, learning lessons</t>
  </si>
  <si>
    <t xml:space="preserve">AI Overviews and snippets lift concise, self-contained answers.</t>
  </si>
  <si>
    <t xml:space="preserve">3</t>
  </si>
  <si>
    <t xml:space="preserve">Cover the whole query fan-out</t>
  </si>
  <si>
    <t xml:space="preserve">For each pillar, answer the sub-questions people ask next: cost, eligibility, tax, risks, alternatives, how to start.</t>
  </si>
  <si>
    <t xml:space="preserve">LAMF, FD, MF, insurance pages</t>
  </si>
  <si>
    <t xml:space="preserve">Generative search expands one query into many sub-queries; broad coverage gives more chances to be cited.</t>
  </si>
  <si>
    <t xml:space="preserve">4</t>
  </si>
  <si>
    <t xml:space="preserve">Use tables and lists for comparisons</t>
  </si>
  <si>
    <t xml:space="preserve">Direct vs Regular, Term vs ULIP, FD vs RD vs SIP, Old vs New tax regime as simple HTML tables.</t>
  </si>
  <si>
    <t xml:space="preserve">Blog + learning</t>
  </si>
  <si>
    <t xml:space="preserve">Structured comparisons are easy to quote.</t>
  </si>
  <si>
    <t xml:space="preserve">5</t>
  </si>
  <si>
    <t xml:space="preserve">Make entity facts identical everywhere</t>
  </si>
  <si>
    <t xml:space="preserve">Name, ARN-284122, founder, address, phone, hours, services and counts (AMCs, clients) must match across site, Google Business Profile, LinkedIn, Facebook, Instagram and directories. Use sameAs in schema.</t>
  </si>
  <si>
    <t xml:space="preserve">Sitewide</t>
  </si>
  <si>
    <t xml:space="preserve">Consistent facts help search and AI systems resolve who you are.</t>
  </si>
  <si>
    <t xml:space="preserve">6</t>
  </si>
  <si>
    <t xml:space="preserve">Show real expertise and sources</t>
  </si>
  <si>
    <t xml:space="preserve">Named author/reviewer with credentials, 'Last reviewed' date, and links to primary sources (SEBI, AMFI, RBI, NSE, IRDAI, Income Tax Dept).</t>
  </si>
  <si>
    <t xml:space="preserve">Every article</t>
  </si>
  <si>
    <t xml:space="preserve">Financial content is YMYL: trust signals matter more.</t>
  </si>
  <si>
    <t xml:space="preserve">7</t>
  </si>
  <si>
    <t xml:space="preserve">Publish original value</t>
  </si>
  <si>
    <t xml:space="preserve">Your calculators, Himachal income-based SIP tables and plain-English explainers are the 'unique point of view' Google asks for. Add more local/data-driven pieces.</t>
  </si>
  <si>
    <t xml:space="preserve">Calculators, blog</t>
  </si>
  <si>
    <t xml:space="preserve">Generic rewrites of what Groww/ET Money say will not be cited.</t>
  </si>
  <si>
    <t xml:space="preserve">8</t>
  </si>
  <si>
    <t xml:space="preserve">Keep facts fresh</t>
  </si>
  <si>
    <t xml:space="preserve">Put the year and a last-updated date on tax, FD, LAMF and holiday pages; update after each Budget, RBI or SEBI change.</t>
  </si>
  <si>
    <t xml:space="preserve">Tax, FD, LAMF, NSE/BSE</t>
  </si>
  <si>
    <t xml:space="preserve">Stale answers (for example the SEBI nomination post) lose trust and clicks.</t>
  </si>
  <si>
    <t xml:space="preserve">9</t>
  </si>
  <si>
    <t xml:space="preserve">Structured data that matches the page</t>
  </si>
  <si>
    <t xml:space="preserve">Organization/FinancialService, WebSite, BreadcrumbList, BlogPosting, Person, WebApplication (calculators), Course. Keep markup consistent with visible content.</t>
  </si>
  <si>
    <t xml:space="preserve">Helps understanding; not a ranking guarantee.</t>
  </si>
  <si>
    <t xml:space="preserve">10</t>
  </si>
  <si>
    <t xml:space="preserve">FAQ markup: optional</t>
  </si>
  <si>
    <t xml:space="preserve">Since 2023 Google shows FAQ rich results only for a few authoritative government and health sites. Keep visible FAQs for users and AI readers, but do not expect a rich result from FAQPage markup.</t>
  </si>
  <si>
    <t xml:space="preserve">FAQs</t>
  </si>
  <si>
    <t xml:space="preserve">Avoid wasted effort.</t>
  </si>
  <si>
    <t xml:space="preserve">11</t>
  </si>
  <si>
    <t xml:space="preserve">Earn real mentions</t>
  </si>
  <si>
    <t xml:space="preserve">Genuine third-party listings and mentions (AMFI/advisor directories, local news, LinkedIn articles, helpful answers on forums). Google warns that seeking inauthentic mentions can be treated as spam.</t>
  </si>
  <si>
    <t xml:space="preserve">Off-site</t>
  </si>
  <si>
    <t xml:space="preserve">Corroboration across sources builds authority.</t>
  </si>
  <si>
    <t xml:space="preserve">12</t>
  </si>
  <si>
    <t xml:space="preserve">Non-Google AI engines</t>
  </si>
  <si>
    <t xml:space="preserve">ChatGPT, Perplexity, Claude and Copilot use their own crawlers and indexes. Decide deliberately which crawlers to allow in robots.txt; llms.txt is optional and has no proven effect on Google.</t>
  </si>
  <si>
    <t xml:space="preserve">robots.txt</t>
  </si>
  <si>
    <t xml:space="preserve">Be visible where you want to be cited.</t>
  </si>
  <si>
    <t xml:space="preserve">13</t>
  </si>
  <si>
    <t xml:space="preserve">Measure it</t>
  </si>
  <si>
    <t xml:space="preserve">Track queries/impressions in Search Console and Bing Webmaster Tools; monthly, test 10-15 real customer prompts (for example 'how much SIP should I start in Himachal Pradesh') and log whether Stockstrail is cited.</t>
  </si>
  <si>
    <t xml:space="preserve">Process</t>
  </si>
  <si>
    <t xml:space="preserve">Turns AEO/GEO into a feedback loop.</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</si>
</sst>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012928"/>
      <name val="Arial"/>
      <family val="0"/>
      <charset val="1"/>
    </font>
    <font>
      <i val="true"/>
      <sz val="9"/>
      <color rgb="FF555555"/>
      <name val="Arial"/>
      <family val="0"/>
      <charset val="1"/>
    </font>
    <font>
      <b val="true"/>
      <sz val="10"/>
      <color rgb="FFFFFFFF"/>
      <name val="Arial"/>
      <family val="0"/>
      <charset val="1"/>
    </font>
    <font>
      <b val="true"/>
      <sz val="10"/>
      <name val="Arial"/>
      <family val="0"/>
      <charset val="1"/>
    </font>
    <font>
      <sz val="10"/>
      <name val="Arial"/>
      <family val="0"/>
      <charset val="1"/>
    </font>
    <font>
      <b val="true"/>
      <sz val="14"/>
      <color rgb="FF012928"/>
      <name val="Arial"/>
      <family val="0"/>
      <charset val="1"/>
    </font>
  </fonts>
  <fills count="10">
    <fill>
      <patternFill patternType="none"/>
    </fill>
    <fill>
      <patternFill patternType="gray125"/>
    </fill>
    <fill>
      <patternFill patternType="solid">
        <fgColor rgb="FF012928"/>
        <bgColor rgb="FF003366"/>
      </patternFill>
    </fill>
    <fill>
      <patternFill patternType="solid">
        <fgColor rgb="FFE6FBF1"/>
        <bgColor rgb="FFECECEC"/>
      </patternFill>
    </fill>
    <fill>
      <patternFill patternType="solid">
        <fgColor rgb="FFFDE2E2"/>
        <bgColor rgb="FFECECEC"/>
      </patternFill>
    </fill>
    <fill>
      <patternFill patternType="solid">
        <fgColor rgb="FFFFF1CC"/>
        <bgColor rgb="FFFDE2E2"/>
      </patternFill>
    </fill>
    <fill>
      <patternFill patternType="solid">
        <fgColor rgb="FFECECEC"/>
        <bgColor rgb="FFDCE9FF"/>
      </patternFill>
    </fill>
    <fill>
      <patternFill patternType="solid">
        <fgColor rgb="FFD9D9D9"/>
        <bgColor rgb="FFD0D0D0"/>
      </patternFill>
    </fill>
    <fill>
      <patternFill patternType="solid">
        <fgColor rgb="FFDCE9FF"/>
        <bgColor rgb="FFECECEC"/>
      </patternFill>
    </fill>
    <fill>
      <patternFill patternType="solid">
        <fgColor rgb="FFC9F2DC"/>
        <bgColor rgb="FFDCE9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012928"/>
          <bgColor rgb="FF000000"/>
        </patternFill>
      </fill>
    </dxf>
    <dxf>
      <fill>
        <patternFill patternType="solid">
          <bgColor rgb="FF000000"/>
        </patternFill>
      </fill>
    </dxf>
    <dxf>
      <fill>
        <patternFill patternType="solid">
          <fgColor rgb="FFFFFFFF"/>
          <bgColor rgb="FF000000"/>
        </patternFill>
      </fill>
    </dxf>
    <dxf>
      <fill>
        <patternFill patternType="solid">
          <fgColor rgb="FFE6FBF1"/>
          <bgColor rgb="FF000000"/>
        </patternFill>
      </fill>
    </dxf>
    <dxf>
      <fill>
        <patternFill patternType="solid">
          <fgColor rgb="FFECECEC"/>
          <bgColor rgb="FF000000"/>
        </patternFill>
      </fill>
    </dxf>
    <dxf>
      <fill>
        <patternFill patternType="solid">
          <fgColor rgb="FFFDE2E2"/>
          <bgColor rgb="FF000000"/>
        </patternFill>
      </fill>
    </dxf>
    <dxf>
      <fill>
        <patternFill patternType="solid">
          <fgColor rgb="FFFFF1CC"/>
          <bgColor rgb="FF000000"/>
        </patternFill>
      </fill>
    </dxf>
    <dxf>
      <fill>
        <patternFill patternType="solid">
          <fgColor rgb="FFD9D9D9"/>
          <bgColor rgb="FF000000"/>
        </patternFill>
      </fill>
    </dxf>
    <dxf>
      <fill>
        <patternFill patternType="solid">
          <fgColor rgb="FFFFE08A"/>
          <bgColor rgb="FF000000"/>
        </patternFill>
      </fill>
    </dxf>
    <dxf>
      <fill>
        <patternFill>
          <bgColor rgb="FFF8B4B4"/>
        </patternFill>
      </fill>
    </dxf>
    <dxf>
      <fill>
        <patternFill>
          <bgColor rgb="FFFFE08A"/>
        </patternFill>
      </fill>
    </dxf>
    <dxf>
      <fill>
        <patternFill patternType="solid">
          <fgColor rgb="FFC9F2DC"/>
          <bgColor rgb="FF000000"/>
        </patternFill>
      </fill>
    </dxf>
    <dxf>
      <fill>
        <patternFill patternType="solid">
          <fgColor rgb="FFDCE9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1CC"/>
      <rgbColor rgb="FFE6FBF1"/>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CE9FF"/>
      <rgbColor rgb="FFC9F2DC"/>
      <rgbColor rgb="FFECECEC"/>
      <rgbColor rgb="FFFDE2E2"/>
      <rgbColor rgb="FFF8B4B4"/>
      <rgbColor rgb="FFCC99FF"/>
      <rgbColor rgb="FFFFE08A"/>
      <rgbColor rgb="FF3366FF"/>
      <rgbColor rgb="FF33CCCC"/>
      <rgbColor rgb="FF99CC00"/>
      <rgbColor rgb="FFFFCC00"/>
      <rgbColor rgb="FFFF9900"/>
      <rgbColor rgb="FFFF6600"/>
      <rgbColor rgb="FF555555"/>
      <rgbColor rgb="FF969696"/>
      <rgbColor rgb="FF003366"/>
      <rgbColor rgb="FF339966"/>
      <rgbColor rgb="FF01292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928"/>
    <pageSetUpPr fitToPage="false"/>
  </sheetPr>
  <dimension ref="A1: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4"/>
    </row>
    <row r="6" customFormat="false" ht="28.5" hidden="false" customHeight="true" outlineLevel="0" collapsed="false">
      <c r="A6" s="5" t="s">
        <v>3</v>
      </c>
      <c r="B6" s="6" t="s">
        <v>4</v>
      </c>
    </row>
    <row r="7" customFormat="false" ht="18" hidden="false" customHeight="true" outlineLevel="0" collapsed="false">
      <c r="A7" s="5" t="s">
        <v>5</v>
      </c>
      <c r="B7" s="6" t="s">
        <v>6</v>
      </c>
    </row>
    <row r="8" customFormat="false" ht="18" hidden="false" customHeight="true" outlineLevel="0" collapsed="false">
      <c r="A8" s="5" t="s">
        <v>7</v>
      </c>
      <c r="B8" s="6" t="s">
        <v>8</v>
      </c>
    </row>
    <row r="9" customFormat="false" ht="18" hidden="false" customHeight="true" outlineLevel="0" collapsed="false">
      <c r="A9" s="5" t="s">
        <v>9</v>
      </c>
      <c r="B9" s="6" t="s">
        <v>10</v>
      </c>
    </row>
    <row r="10" customFormat="false" ht="18" hidden="false" customHeight="true" outlineLevel="0" collapsed="false">
      <c r="A10" s="5" t="s">
        <v>11</v>
      </c>
      <c r="B10" s="6" t="s">
        <v>12</v>
      </c>
    </row>
    <row r="12" customFormat="false" ht="15" hidden="false" customHeight="false" outlineLevel="0" collapsed="false">
      <c r="A12" s="3" t="s">
        <v>13</v>
      </c>
      <c r="B12" s="4"/>
    </row>
    <row r="13" customFormat="false" ht="28.5" hidden="false" customHeight="true" outlineLevel="0" collapsed="false">
      <c r="A13" s="5" t="s">
        <v>14</v>
      </c>
      <c r="B13" s="6" t="s">
        <v>15</v>
      </c>
    </row>
    <row r="14" customFormat="false" ht="18" hidden="false" customHeight="true" outlineLevel="0" collapsed="false">
      <c r="A14" s="5" t="s">
        <v>16</v>
      </c>
      <c r="B14" s="6" t="s">
        <v>17</v>
      </c>
    </row>
    <row r="15" customFormat="false" ht="41.25" hidden="false" customHeight="true" outlineLevel="0" collapsed="false">
      <c r="A15" s="5" t="s">
        <v>18</v>
      </c>
      <c r="B15" s="6" t="s">
        <v>19</v>
      </c>
    </row>
    <row r="16" customFormat="false" ht="28.5" hidden="false" customHeight="true" outlineLevel="0" collapsed="false">
      <c r="A16" s="5" t="s">
        <v>20</v>
      </c>
      <c r="B16" s="6" t="s">
        <v>21</v>
      </c>
    </row>
    <row r="17" customFormat="false" ht="28.5" hidden="false" customHeight="true" outlineLevel="0" collapsed="false">
      <c r="A17" s="5" t="s">
        <v>22</v>
      </c>
      <c r="B17" s="6" t="s">
        <v>23</v>
      </c>
    </row>
    <row r="19" customFormat="false" ht="15" hidden="false" customHeight="false" outlineLevel="0" collapsed="false">
      <c r="A19" s="3" t="s">
        <v>24</v>
      </c>
      <c r="B19" s="4"/>
    </row>
    <row r="20" customFormat="false" ht="15" hidden="false" customHeight="false" outlineLevel="0" collapsed="false">
      <c r="A20" s="7" t="s">
        <v>25</v>
      </c>
      <c r="B20" s="8" t="n">
        <f aca="false">COUNTA('Meta - Main Site'!C5:C53)</f>
        <v>49</v>
      </c>
    </row>
    <row r="21" customFormat="false" ht="15" hidden="false" customHeight="false" outlineLevel="0" collapsed="false">
      <c r="A21" s="7" t="s">
        <v>26</v>
      </c>
      <c r="B21" s="8" t="n">
        <f aca="false">COUNTA('Meta - Learning'!C5:C56)</f>
        <v>52</v>
      </c>
    </row>
    <row r="22" customFormat="false" ht="15" hidden="false" customHeight="false" outlineLevel="0" collapsed="false">
      <c r="A22" s="7" t="s">
        <v>27</v>
      </c>
      <c r="B22" s="8" t="n">
        <f aca="false">COUNTIF('Meta - Main Site'!F5:F53,"&gt;60")+COUNTIF('Meta - Learning'!F5:F56,"&gt;60")</f>
        <v>0</v>
      </c>
    </row>
    <row r="23" customFormat="false" ht="15" hidden="false" customHeight="false" outlineLevel="0" collapsed="false">
      <c r="A23" s="7" t="s">
        <v>28</v>
      </c>
      <c r="B23" s="8" t="n">
        <f aca="false">COUNTIF('Meta - Main Site'!H5:H53,"&gt;160")+COUNTIF('Meta - Learning'!H5:H56,"&gt;160")</f>
        <v>0</v>
      </c>
    </row>
    <row r="24" customFormat="false" ht="15" hidden="false" customHeight="false" outlineLevel="0" collapsed="false">
      <c r="A24" s="7" t="s">
        <v>29</v>
      </c>
      <c r="B24" s="8" t="n">
        <f aca="false">COUNTIF('Meta - Main Site'!Q5:Q53,"&gt;60")+COUNTIF('Meta - Learning'!Q5:Q56,"&gt;60")</f>
        <v>70</v>
      </c>
    </row>
    <row r="25" customFormat="false" ht="15" hidden="false" customHeight="false" outlineLevel="0" collapsed="false">
      <c r="A25" s="7" t="s">
        <v>30</v>
      </c>
      <c r="B25" s="8" t="n">
        <f aca="false">ROUND((SUM('Meta - Main Site'!F5:F53)+SUM('Meta - Learning'!F5:F56))/(COUNT('Meta - Main Site'!F5:F53)+COUNT('Meta - Learning'!F5:F56)),1)</f>
        <v>54.4</v>
      </c>
    </row>
    <row r="27" customFormat="false" ht="15" hidden="false" customHeight="false" outlineLevel="0" collapsed="false">
      <c r="A27" s="3" t="s">
        <v>31</v>
      </c>
      <c r="B27" s="4"/>
    </row>
    <row r="28" customFormat="false" ht="41.25" hidden="false" customHeight="true" outlineLevel="0" collapsed="false">
      <c r="A28" s="5" t="s">
        <v>32</v>
      </c>
      <c r="B28" s="6" t="s">
        <v>33</v>
      </c>
    </row>
    <row r="29" customFormat="false" ht="54" hidden="false" customHeight="true" outlineLevel="0" collapsed="false">
      <c r="A29" s="5" t="s">
        <v>34</v>
      </c>
      <c r="B29" s="6" t="s">
        <v>35</v>
      </c>
    </row>
    <row r="30" customFormat="false" ht="28.5" hidden="false" customHeight="true" outlineLevel="0" collapsed="false">
      <c r="A30" s="5" t="s">
        <v>36</v>
      </c>
      <c r="B30" s="6" t="s">
        <v>37</v>
      </c>
    </row>
    <row r="31" customFormat="false" ht="28.5" hidden="false" customHeight="true" outlineLevel="0" collapsed="false">
      <c r="A31" s="5" t="s">
        <v>38</v>
      </c>
      <c r="B31" s="6" t="s">
        <v>39</v>
      </c>
    </row>
    <row r="32" customFormat="false" ht="41.25" hidden="false" customHeight="true" outlineLevel="0" collapsed="false">
      <c r="A32" s="5" t="s">
        <v>40</v>
      </c>
      <c r="B32" s="6" t="s">
        <v>41</v>
      </c>
    </row>
    <row r="34" customFormat="false" ht="15" hidden="false" customHeight="false" outlineLevel="0" collapsed="false">
      <c r="A34" s="3" t="s">
        <v>42</v>
      </c>
      <c r="B34" s="4"/>
    </row>
    <row r="35" customFormat="false" ht="28.5" hidden="false" customHeight="true" outlineLevel="0" collapsed="false">
      <c r="A35" s="5" t="s">
        <v>43</v>
      </c>
      <c r="B35" s="6" t="s">
        <v>44</v>
      </c>
    </row>
    <row r="36" customFormat="false" ht="28.5" hidden="false" customHeight="true" outlineLevel="0" collapsed="false">
      <c r="A36" s="5" t="s">
        <v>45</v>
      </c>
      <c r="B36" s="6" t="s">
        <v>46</v>
      </c>
    </row>
    <row r="37" customFormat="false" ht="18" hidden="false" customHeight="true" outlineLevel="0" collapsed="false">
      <c r="A37" s="5" t="s">
        <v>47</v>
      </c>
      <c r="B37" s="6" t="s">
        <v>48</v>
      </c>
    </row>
    <row r="38" customFormat="false" ht="18" hidden="false" customHeight="true" outlineLevel="0" collapsed="false">
      <c r="A38" s="5" t="s">
        <v>49</v>
      </c>
      <c r="B38" s="6"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928"/>
    <pageSetUpPr fitToPage="false"/>
  </sheetPr>
  <dimension ref="A1:R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
    <col collapsed="false" customWidth="true" hidden="false" outlineLevel="0" max="3" min="3" style="0" width="24"/>
    <col collapsed="false" customWidth="true" hidden="false" outlineLevel="0" max="4" min="4" style="0" width="36"/>
    <col collapsed="false" customWidth="true" hidden="false" outlineLevel="0" max="5" min="5" style="0" width="44"/>
    <col collapsed="false" customWidth="true" hidden="false" outlineLevel="0" max="6" min="6" style="0" width="8"/>
    <col collapsed="false" customWidth="true" hidden="false" outlineLevel="0" max="7" min="7" style="0" width="62"/>
    <col collapsed="false" customWidth="true" hidden="false" outlineLevel="0" max="8" min="8" style="0" width="8"/>
    <col collapsed="false" customWidth="true" hidden="false" outlineLevel="0" max="9" min="9" style="0" width="24"/>
    <col collapsed="false" customWidth="true" hidden="false" outlineLevel="0" max="10" min="10" style="0" width="36"/>
    <col collapsed="false" customWidth="true" hidden="false" outlineLevel="0" max="11" min="11" style="0" width="18"/>
    <col collapsed="false" customWidth="true" hidden="false" outlineLevel="0" max="12" min="12" style="0" width="8"/>
    <col collapsed="false" customWidth="true" hidden="false" outlineLevel="0" max="13" min="13" style="0" width="10"/>
    <col collapsed="false" customWidth="true" hidden="false" outlineLevel="0" max="14" min="14" style="0" width="70"/>
    <col collapsed="false" customWidth="true" hidden="false" outlineLevel="0" max="15" min="15" style="0" width="40"/>
    <col collapsed="false" customWidth="true" hidden="false" outlineLevel="0" max="16" min="16" style="0" width="50"/>
    <col collapsed="false" customWidth="true" hidden="false" outlineLevel="0" max="18" min="17" style="0" width="8"/>
  </cols>
  <sheetData>
    <row r="1" customFormat="false" ht="17.35" hidden="false" customHeight="false" outlineLevel="0" collapsed="false">
      <c r="A1" s="9" t="s">
        <v>51</v>
      </c>
    </row>
    <row r="2" customFormat="false" ht="39.75" hidden="false" customHeight="true" outlineLevel="0" collapsed="false">
      <c r="A2" s="10" t="s">
        <v>52</v>
      </c>
      <c r="B2" s="10"/>
      <c r="C2" s="10"/>
      <c r="D2" s="10"/>
      <c r="E2" s="10"/>
      <c r="F2" s="10"/>
      <c r="G2" s="10"/>
      <c r="H2" s="10"/>
      <c r="I2" s="10"/>
      <c r="J2" s="10"/>
      <c r="K2" s="10"/>
      <c r="L2" s="10"/>
      <c r="M2" s="10"/>
      <c r="N2" s="10"/>
    </row>
    <row r="4" customFormat="false" ht="31.5" hidden="false" customHeight="true" outlineLevel="0" collapsed="false">
      <c r="A4" s="11" t="s">
        <v>53</v>
      </c>
      <c r="B4" s="11" t="s">
        <v>54</v>
      </c>
      <c r="C4" s="11" t="s">
        <v>55</v>
      </c>
      <c r="D4" s="11" t="s">
        <v>56</v>
      </c>
      <c r="E4" s="11" t="s">
        <v>57</v>
      </c>
      <c r="F4" s="11" t="s">
        <v>58</v>
      </c>
      <c r="G4" s="11" t="s">
        <v>59</v>
      </c>
      <c r="H4" s="11" t="s">
        <v>60</v>
      </c>
      <c r="I4" s="11" t="s">
        <v>61</v>
      </c>
      <c r="J4" s="11" t="s">
        <v>62</v>
      </c>
      <c r="K4" s="11" t="s">
        <v>63</v>
      </c>
      <c r="L4" s="11" t="s">
        <v>64</v>
      </c>
      <c r="M4" s="11" t="s">
        <v>65</v>
      </c>
      <c r="N4" s="11" t="s">
        <v>66</v>
      </c>
      <c r="O4" s="11" t="s">
        <v>67</v>
      </c>
      <c r="P4" s="11" t="s">
        <v>68</v>
      </c>
      <c r="Q4" s="11" t="s">
        <v>69</v>
      </c>
      <c r="R4" s="11" t="s">
        <v>70</v>
      </c>
    </row>
    <row r="5" customFormat="false" ht="66" hidden="false" customHeight="true" outlineLevel="0" collapsed="false">
      <c r="A5" s="12" t="n">
        <v>1</v>
      </c>
      <c r="B5" s="13" t="s">
        <v>71</v>
      </c>
      <c r="C5" s="13" t="s">
        <v>72</v>
      </c>
      <c r="D5" s="13" t="s">
        <v>73</v>
      </c>
      <c r="E5" s="14" t="s">
        <v>74</v>
      </c>
      <c r="F5" s="15" t="n">
        <f aca="false">LEN(E5)</f>
        <v>59</v>
      </c>
      <c r="G5" s="16" t="s">
        <v>75</v>
      </c>
      <c r="H5" s="15" t="n">
        <f aca="false">LEN(G5)</f>
        <v>160</v>
      </c>
      <c r="I5" s="13" t="s">
        <v>76</v>
      </c>
      <c r="J5" s="13" t="s">
        <v>77</v>
      </c>
      <c r="K5" s="13" t="s">
        <v>78</v>
      </c>
      <c r="L5" s="17" t="s">
        <v>79</v>
      </c>
      <c r="M5" s="12" t="s">
        <v>80</v>
      </c>
      <c r="N5" s="13" t="s">
        <v>81</v>
      </c>
      <c r="O5" s="13" t="s">
        <v>82</v>
      </c>
      <c r="P5" s="13" t="s">
        <v>83</v>
      </c>
      <c r="Q5" s="15" t="n">
        <f aca="false">LEN(O5)</f>
        <v>60</v>
      </c>
      <c r="R5" s="12" t="n">
        <f aca="false">LEN(P5)</f>
        <v>172</v>
      </c>
    </row>
    <row r="6" customFormat="false" ht="78.75" hidden="false" customHeight="true" outlineLevel="0" collapsed="false">
      <c r="A6" s="12" t="n">
        <v>2</v>
      </c>
      <c r="B6" s="13" t="s">
        <v>71</v>
      </c>
      <c r="C6" s="13" t="s">
        <v>84</v>
      </c>
      <c r="D6" s="13" t="s">
        <v>85</v>
      </c>
      <c r="E6" s="14" t="s">
        <v>86</v>
      </c>
      <c r="F6" s="15" t="n">
        <f aca="false">LEN(E6)</f>
        <v>53</v>
      </c>
      <c r="G6" s="16" t="s">
        <v>87</v>
      </c>
      <c r="H6" s="15" t="n">
        <f aca="false">LEN(G6)</f>
        <v>157</v>
      </c>
      <c r="I6" s="13" t="s">
        <v>88</v>
      </c>
      <c r="J6" s="13" t="s">
        <v>89</v>
      </c>
      <c r="K6" s="13" t="s">
        <v>90</v>
      </c>
      <c r="L6" s="17" t="s">
        <v>79</v>
      </c>
      <c r="M6" s="12" t="s">
        <v>80</v>
      </c>
      <c r="N6" s="13" t="s">
        <v>91</v>
      </c>
      <c r="O6" s="13" t="s">
        <v>92</v>
      </c>
      <c r="P6" s="13" t="s">
        <v>93</v>
      </c>
      <c r="Q6" s="15" t="n">
        <f aca="false">LEN(O6)</f>
        <v>69</v>
      </c>
      <c r="R6" s="12" t="n">
        <f aca="false">LEN(P6)</f>
        <v>208</v>
      </c>
    </row>
    <row r="7" customFormat="false" ht="41.25" hidden="false" customHeight="true" outlineLevel="0" collapsed="false">
      <c r="A7" s="12" t="n">
        <v>3</v>
      </c>
      <c r="B7" s="13" t="s">
        <v>71</v>
      </c>
      <c r="C7" s="13" t="s">
        <v>94</v>
      </c>
      <c r="D7" s="13" t="s">
        <v>95</v>
      </c>
      <c r="E7" s="14" t="s">
        <v>96</v>
      </c>
      <c r="F7" s="15" t="n">
        <f aca="false">LEN(E7)</f>
        <v>57</v>
      </c>
      <c r="G7" s="16" t="s">
        <v>97</v>
      </c>
      <c r="H7" s="15" t="n">
        <f aca="false">LEN(G7)</f>
        <v>153</v>
      </c>
      <c r="I7" s="13" t="s">
        <v>98</v>
      </c>
      <c r="J7" s="13" t="s">
        <v>99</v>
      </c>
      <c r="K7" s="13" t="s">
        <v>100</v>
      </c>
      <c r="L7" s="17" t="s">
        <v>79</v>
      </c>
      <c r="M7" s="12" t="s">
        <v>80</v>
      </c>
      <c r="N7" s="13" t="s">
        <v>101</v>
      </c>
      <c r="O7" s="13" t="s">
        <v>102</v>
      </c>
      <c r="P7" s="13" t="s">
        <v>103</v>
      </c>
      <c r="Q7" s="15" t="n">
        <f aca="false">LEN(O7)</f>
        <v>72</v>
      </c>
      <c r="R7" s="12" t="n">
        <f aca="false">LEN(P7)</f>
        <v>146</v>
      </c>
    </row>
    <row r="8" customFormat="false" ht="41.25" hidden="false" customHeight="true" outlineLevel="0" collapsed="false">
      <c r="A8" s="12" t="n">
        <v>4</v>
      </c>
      <c r="B8" s="13" t="s">
        <v>71</v>
      </c>
      <c r="C8" s="13" t="s">
        <v>104</v>
      </c>
      <c r="D8" s="13" t="s">
        <v>105</v>
      </c>
      <c r="E8" s="14" t="s">
        <v>106</v>
      </c>
      <c r="F8" s="15" t="n">
        <f aca="false">LEN(E8)</f>
        <v>57</v>
      </c>
      <c r="G8" s="16" t="s">
        <v>107</v>
      </c>
      <c r="H8" s="15" t="n">
        <f aca="false">LEN(G8)</f>
        <v>151</v>
      </c>
      <c r="I8" s="13" t="s">
        <v>108</v>
      </c>
      <c r="J8" s="13" t="s">
        <v>109</v>
      </c>
      <c r="K8" s="13" t="s">
        <v>110</v>
      </c>
      <c r="L8" s="17" t="s">
        <v>79</v>
      </c>
      <c r="M8" s="12" t="s">
        <v>80</v>
      </c>
      <c r="N8" s="13" t="s">
        <v>111</v>
      </c>
      <c r="O8" s="13" t="s">
        <v>112</v>
      </c>
      <c r="P8" s="13" t="s">
        <v>113</v>
      </c>
      <c r="Q8" s="15" t="n">
        <f aca="false">LEN(O8)</f>
        <v>55</v>
      </c>
      <c r="R8" s="12" t="n">
        <f aca="false">LEN(P8)</f>
        <v>136</v>
      </c>
    </row>
    <row r="9" customFormat="false" ht="54" hidden="false" customHeight="true" outlineLevel="0" collapsed="false">
      <c r="A9" s="12" t="n">
        <v>5</v>
      </c>
      <c r="B9" s="13" t="s">
        <v>114</v>
      </c>
      <c r="C9" s="13" t="s">
        <v>115</v>
      </c>
      <c r="D9" s="13" t="s">
        <v>116</v>
      </c>
      <c r="E9" s="14" t="s">
        <v>117</v>
      </c>
      <c r="F9" s="15" t="n">
        <f aca="false">LEN(E9)</f>
        <v>59</v>
      </c>
      <c r="G9" s="16" t="s">
        <v>118</v>
      </c>
      <c r="H9" s="15" t="n">
        <f aca="false">LEN(G9)</f>
        <v>155</v>
      </c>
      <c r="I9" s="13" t="s">
        <v>119</v>
      </c>
      <c r="J9" s="13" t="s">
        <v>120</v>
      </c>
      <c r="K9" s="13" t="s">
        <v>121</v>
      </c>
      <c r="L9" s="17" t="s">
        <v>79</v>
      </c>
      <c r="M9" s="12" t="s">
        <v>80</v>
      </c>
      <c r="N9" s="13" t="s">
        <v>122</v>
      </c>
      <c r="O9" s="13" t="s">
        <v>123</v>
      </c>
      <c r="P9" s="13" t="s">
        <v>124</v>
      </c>
      <c r="Q9" s="15" t="n">
        <f aca="false">LEN(O9)</f>
        <v>72</v>
      </c>
      <c r="R9" s="12" t="n">
        <f aca="false">LEN(P9)</f>
        <v>178</v>
      </c>
    </row>
    <row r="10" customFormat="false" ht="54" hidden="false" customHeight="true" outlineLevel="0" collapsed="false">
      <c r="A10" s="12" t="n">
        <v>6</v>
      </c>
      <c r="B10" s="13" t="s">
        <v>114</v>
      </c>
      <c r="C10" s="13" t="s">
        <v>125</v>
      </c>
      <c r="D10" s="13" t="s">
        <v>126</v>
      </c>
      <c r="E10" s="14" t="s">
        <v>127</v>
      </c>
      <c r="F10" s="15" t="n">
        <f aca="false">LEN(E10)</f>
        <v>54</v>
      </c>
      <c r="G10" s="16" t="s">
        <v>128</v>
      </c>
      <c r="H10" s="15" t="n">
        <f aca="false">LEN(G10)</f>
        <v>160</v>
      </c>
      <c r="I10" s="13" t="s">
        <v>129</v>
      </c>
      <c r="J10" s="13" t="s">
        <v>130</v>
      </c>
      <c r="K10" s="13" t="s">
        <v>131</v>
      </c>
      <c r="L10" s="17" t="s">
        <v>79</v>
      </c>
      <c r="M10" s="12" t="s">
        <v>80</v>
      </c>
      <c r="N10" s="13" t="s">
        <v>132</v>
      </c>
      <c r="O10" s="13" t="s">
        <v>133</v>
      </c>
      <c r="P10" s="13" t="s">
        <v>134</v>
      </c>
      <c r="Q10" s="15" t="n">
        <f aca="false">LEN(O10)</f>
        <v>66</v>
      </c>
      <c r="R10" s="12" t="n">
        <f aca="false">LEN(P10)</f>
        <v>208</v>
      </c>
    </row>
    <row r="11" customFormat="false" ht="54" hidden="false" customHeight="true" outlineLevel="0" collapsed="false">
      <c r="A11" s="12" t="n">
        <v>7</v>
      </c>
      <c r="B11" s="13" t="s">
        <v>114</v>
      </c>
      <c r="C11" s="13" t="s">
        <v>135</v>
      </c>
      <c r="D11" s="13" t="s">
        <v>136</v>
      </c>
      <c r="E11" s="14" t="s">
        <v>137</v>
      </c>
      <c r="F11" s="15" t="n">
        <f aca="false">LEN(E11)</f>
        <v>58</v>
      </c>
      <c r="G11" s="16" t="s">
        <v>138</v>
      </c>
      <c r="H11" s="15" t="n">
        <f aca="false">LEN(G11)</f>
        <v>158</v>
      </c>
      <c r="I11" s="13" t="s">
        <v>139</v>
      </c>
      <c r="J11" s="13" t="s">
        <v>140</v>
      </c>
      <c r="K11" s="13" t="s">
        <v>141</v>
      </c>
      <c r="L11" s="17" t="s">
        <v>79</v>
      </c>
      <c r="M11" s="12" t="s">
        <v>80</v>
      </c>
      <c r="N11" s="13" t="s">
        <v>142</v>
      </c>
      <c r="O11" s="13" t="s">
        <v>143</v>
      </c>
      <c r="P11" s="13" t="s">
        <v>144</v>
      </c>
      <c r="Q11" s="15" t="n">
        <f aca="false">LEN(O11)</f>
        <v>78</v>
      </c>
      <c r="R11" s="12" t="n">
        <f aca="false">LEN(P11)</f>
        <v>165</v>
      </c>
    </row>
    <row r="12" customFormat="false" ht="54" hidden="false" customHeight="true" outlineLevel="0" collapsed="false">
      <c r="A12" s="12" t="n">
        <v>8</v>
      </c>
      <c r="B12" s="13" t="s">
        <v>114</v>
      </c>
      <c r="C12" s="13" t="s">
        <v>145</v>
      </c>
      <c r="D12" s="13" t="s">
        <v>146</v>
      </c>
      <c r="E12" s="14" t="s">
        <v>147</v>
      </c>
      <c r="F12" s="15" t="n">
        <f aca="false">LEN(E12)</f>
        <v>60</v>
      </c>
      <c r="G12" s="16" t="s">
        <v>148</v>
      </c>
      <c r="H12" s="15" t="n">
        <f aca="false">LEN(G12)</f>
        <v>156</v>
      </c>
      <c r="I12" s="13" t="s">
        <v>149</v>
      </c>
      <c r="J12" s="13" t="s">
        <v>150</v>
      </c>
      <c r="K12" s="13" t="s">
        <v>121</v>
      </c>
      <c r="L12" s="17" t="s">
        <v>79</v>
      </c>
      <c r="M12" s="12" t="s">
        <v>80</v>
      </c>
      <c r="N12" s="13" t="s">
        <v>151</v>
      </c>
      <c r="O12" s="13" t="s">
        <v>152</v>
      </c>
      <c r="P12" s="13" t="s">
        <v>153</v>
      </c>
      <c r="Q12" s="15" t="n">
        <f aca="false">LEN(O12)</f>
        <v>72</v>
      </c>
      <c r="R12" s="12" t="n">
        <f aca="false">LEN(P12)</f>
        <v>186</v>
      </c>
    </row>
    <row r="13" customFormat="false" ht="54" hidden="false" customHeight="true" outlineLevel="0" collapsed="false">
      <c r="A13" s="12" t="n">
        <v>9</v>
      </c>
      <c r="B13" s="13" t="s">
        <v>114</v>
      </c>
      <c r="C13" s="13" t="s">
        <v>154</v>
      </c>
      <c r="D13" s="13" t="s">
        <v>155</v>
      </c>
      <c r="E13" s="14" t="s">
        <v>156</v>
      </c>
      <c r="F13" s="15" t="n">
        <f aca="false">LEN(E13)</f>
        <v>56</v>
      </c>
      <c r="G13" s="16" t="s">
        <v>157</v>
      </c>
      <c r="H13" s="15" t="n">
        <f aca="false">LEN(G13)</f>
        <v>154</v>
      </c>
      <c r="I13" s="13" t="s">
        <v>158</v>
      </c>
      <c r="J13" s="13" t="s">
        <v>159</v>
      </c>
      <c r="K13" s="13" t="s">
        <v>141</v>
      </c>
      <c r="L13" s="18" t="s">
        <v>160</v>
      </c>
      <c r="M13" s="12" t="s">
        <v>80</v>
      </c>
      <c r="N13" s="13" t="s">
        <v>161</v>
      </c>
      <c r="O13" s="13" t="s">
        <v>162</v>
      </c>
      <c r="P13" s="13" t="s">
        <v>163</v>
      </c>
      <c r="Q13" s="15" t="n">
        <f aca="false">LEN(O13)</f>
        <v>55</v>
      </c>
      <c r="R13" s="12" t="n">
        <f aca="false">LEN(P13)</f>
        <v>193</v>
      </c>
    </row>
    <row r="14" customFormat="false" ht="54" hidden="false" customHeight="true" outlineLevel="0" collapsed="false">
      <c r="A14" s="12" t="n">
        <v>10</v>
      </c>
      <c r="B14" s="13" t="s">
        <v>114</v>
      </c>
      <c r="C14" s="13" t="s">
        <v>164</v>
      </c>
      <c r="D14" s="13" t="s">
        <v>165</v>
      </c>
      <c r="E14" s="14" t="s">
        <v>166</v>
      </c>
      <c r="F14" s="15" t="n">
        <f aca="false">LEN(E14)</f>
        <v>58</v>
      </c>
      <c r="G14" s="16" t="s">
        <v>167</v>
      </c>
      <c r="H14" s="15" t="n">
        <f aca="false">LEN(G14)</f>
        <v>160</v>
      </c>
      <c r="I14" s="13" t="s">
        <v>168</v>
      </c>
      <c r="J14" s="13" t="s">
        <v>169</v>
      </c>
      <c r="K14" s="13" t="s">
        <v>170</v>
      </c>
      <c r="L14" s="18" t="s">
        <v>160</v>
      </c>
      <c r="M14" s="12" t="s">
        <v>80</v>
      </c>
      <c r="N14" s="13" t="s">
        <v>171</v>
      </c>
      <c r="O14" s="13" t="s">
        <v>172</v>
      </c>
      <c r="P14" s="13" t="s">
        <v>173</v>
      </c>
      <c r="Q14" s="15" t="n">
        <f aca="false">LEN(O14)</f>
        <v>63</v>
      </c>
      <c r="R14" s="12" t="n">
        <f aca="false">LEN(P14)</f>
        <v>177</v>
      </c>
    </row>
    <row r="15" customFormat="false" ht="54" hidden="false" customHeight="true" outlineLevel="0" collapsed="false">
      <c r="A15" s="12" t="n">
        <v>11</v>
      </c>
      <c r="B15" s="13" t="s">
        <v>174</v>
      </c>
      <c r="C15" s="13" t="s">
        <v>175</v>
      </c>
      <c r="D15" s="13" t="s">
        <v>176</v>
      </c>
      <c r="E15" s="14" t="s">
        <v>177</v>
      </c>
      <c r="F15" s="15" t="n">
        <f aca="false">LEN(E15)</f>
        <v>60</v>
      </c>
      <c r="G15" s="16" t="s">
        <v>178</v>
      </c>
      <c r="H15" s="15" t="n">
        <f aca="false">LEN(G15)</f>
        <v>158</v>
      </c>
      <c r="I15" s="13" t="s">
        <v>179</v>
      </c>
      <c r="J15" s="13" t="s">
        <v>180</v>
      </c>
      <c r="K15" s="13" t="s">
        <v>181</v>
      </c>
      <c r="L15" s="17" t="s">
        <v>79</v>
      </c>
      <c r="M15" s="12" t="s">
        <v>80</v>
      </c>
      <c r="N15" s="13" t="s">
        <v>182</v>
      </c>
      <c r="O15" s="13" t="s">
        <v>183</v>
      </c>
      <c r="P15" s="13" t="s">
        <v>184</v>
      </c>
      <c r="Q15" s="15" t="n">
        <f aca="false">LEN(O15)</f>
        <v>69</v>
      </c>
      <c r="R15" s="12" t="n">
        <f aca="false">LEN(P15)</f>
        <v>192</v>
      </c>
    </row>
    <row r="16" customFormat="false" ht="78.75" hidden="false" customHeight="true" outlineLevel="0" collapsed="false">
      <c r="A16" s="12" t="n">
        <v>12</v>
      </c>
      <c r="B16" s="13" t="s">
        <v>174</v>
      </c>
      <c r="C16" s="13" t="s">
        <v>185</v>
      </c>
      <c r="D16" s="13" t="s">
        <v>186</v>
      </c>
      <c r="E16" s="14" t="s">
        <v>187</v>
      </c>
      <c r="F16" s="15" t="n">
        <f aca="false">LEN(E16)</f>
        <v>59</v>
      </c>
      <c r="G16" s="16" t="s">
        <v>188</v>
      </c>
      <c r="H16" s="15" t="n">
        <f aca="false">LEN(G16)</f>
        <v>157</v>
      </c>
      <c r="I16" s="13" t="s">
        <v>189</v>
      </c>
      <c r="J16" s="13" t="s">
        <v>190</v>
      </c>
      <c r="K16" s="13" t="s">
        <v>191</v>
      </c>
      <c r="L16" s="17" t="s">
        <v>79</v>
      </c>
      <c r="M16" s="12" t="s">
        <v>80</v>
      </c>
      <c r="N16" s="13" t="s">
        <v>192</v>
      </c>
      <c r="O16" s="13" t="s">
        <v>193</v>
      </c>
      <c r="P16" s="13" t="s">
        <v>194</v>
      </c>
      <c r="Q16" s="15" t="n">
        <f aca="false">LEN(O16)</f>
        <v>71</v>
      </c>
      <c r="R16" s="12" t="n">
        <f aca="false">LEN(P16)</f>
        <v>165</v>
      </c>
    </row>
    <row r="17" customFormat="false" ht="41.25" hidden="false" customHeight="true" outlineLevel="0" collapsed="false">
      <c r="A17" s="12" t="n">
        <v>13</v>
      </c>
      <c r="B17" s="13" t="s">
        <v>174</v>
      </c>
      <c r="C17" s="13" t="s">
        <v>195</v>
      </c>
      <c r="D17" s="13" t="s">
        <v>196</v>
      </c>
      <c r="E17" s="14" t="s">
        <v>197</v>
      </c>
      <c r="F17" s="15" t="n">
        <f aca="false">LEN(E17)</f>
        <v>58</v>
      </c>
      <c r="G17" s="16" t="s">
        <v>198</v>
      </c>
      <c r="H17" s="15" t="n">
        <f aca="false">LEN(G17)</f>
        <v>153</v>
      </c>
      <c r="I17" s="13" t="s">
        <v>199</v>
      </c>
      <c r="J17" s="13" t="s">
        <v>200</v>
      </c>
      <c r="K17" s="13" t="s">
        <v>191</v>
      </c>
      <c r="L17" s="18" t="s">
        <v>160</v>
      </c>
      <c r="M17" s="12" t="s">
        <v>80</v>
      </c>
      <c r="N17" s="13" t="s">
        <v>201</v>
      </c>
      <c r="O17" s="13" t="s">
        <v>202</v>
      </c>
      <c r="P17" s="13" t="s">
        <v>203</v>
      </c>
      <c r="Q17" s="15" t="n">
        <f aca="false">LEN(O17)</f>
        <v>78</v>
      </c>
      <c r="R17" s="12" t="n">
        <f aca="false">LEN(P17)</f>
        <v>147</v>
      </c>
    </row>
    <row r="18" customFormat="false" ht="41.25" hidden="false" customHeight="true" outlineLevel="0" collapsed="false">
      <c r="A18" s="12" t="n">
        <v>14</v>
      </c>
      <c r="B18" s="13" t="s">
        <v>174</v>
      </c>
      <c r="C18" s="13" t="s">
        <v>204</v>
      </c>
      <c r="D18" s="13" t="s">
        <v>205</v>
      </c>
      <c r="E18" s="14" t="s">
        <v>206</v>
      </c>
      <c r="F18" s="15" t="n">
        <f aca="false">LEN(E18)</f>
        <v>53</v>
      </c>
      <c r="G18" s="16" t="s">
        <v>207</v>
      </c>
      <c r="H18" s="15" t="n">
        <f aca="false">LEN(G18)</f>
        <v>142</v>
      </c>
      <c r="I18" s="13" t="s">
        <v>208</v>
      </c>
      <c r="J18" s="13" t="s">
        <v>209</v>
      </c>
      <c r="K18" s="13" t="s">
        <v>191</v>
      </c>
      <c r="L18" s="18" t="s">
        <v>160</v>
      </c>
      <c r="M18" s="12" t="s">
        <v>80</v>
      </c>
      <c r="N18" s="13" t="s">
        <v>210</v>
      </c>
      <c r="O18" s="13" t="s">
        <v>211</v>
      </c>
      <c r="P18" s="13" t="s">
        <v>212</v>
      </c>
      <c r="Q18" s="15" t="n">
        <f aca="false">LEN(O18)</f>
        <v>73</v>
      </c>
      <c r="R18" s="12" t="n">
        <f aca="false">LEN(P18)</f>
        <v>124</v>
      </c>
    </row>
    <row r="19" customFormat="false" ht="41.25" hidden="false" customHeight="true" outlineLevel="0" collapsed="false">
      <c r="A19" s="12" t="n">
        <v>15</v>
      </c>
      <c r="B19" s="13" t="s">
        <v>174</v>
      </c>
      <c r="C19" s="13" t="s">
        <v>213</v>
      </c>
      <c r="D19" s="13" t="s">
        <v>214</v>
      </c>
      <c r="E19" s="14" t="s">
        <v>215</v>
      </c>
      <c r="F19" s="15" t="n">
        <f aca="false">LEN(E19)</f>
        <v>55</v>
      </c>
      <c r="G19" s="16" t="s">
        <v>216</v>
      </c>
      <c r="H19" s="15" t="n">
        <f aca="false">LEN(G19)</f>
        <v>152</v>
      </c>
      <c r="I19" s="13" t="s">
        <v>217</v>
      </c>
      <c r="J19" s="13" t="s">
        <v>218</v>
      </c>
      <c r="K19" s="13" t="s">
        <v>191</v>
      </c>
      <c r="L19" s="18" t="s">
        <v>160</v>
      </c>
      <c r="M19" s="12" t="s">
        <v>80</v>
      </c>
      <c r="N19" s="13" t="s">
        <v>219</v>
      </c>
      <c r="O19" s="13" t="s">
        <v>220</v>
      </c>
      <c r="P19" s="13" t="s">
        <v>221</v>
      </c>
      <c r="Q19" s="15" t="n">
        <f aca="false">LEN(O19)</f>
        <v>78</v>
      </c>
      <c r="R19" s="12" t="n">
        <f aca="false">LEN(P19)</f>
        <v>133</v>
      </c>
    </row>
    <row r="20" customFormat="false" ht="41.25" hidden="false" customHeight="true" outlineLevel="0" collapsed="false">
      <c r="A20" s="12" t="n">
        <v>16</v>
      </c>
      <c r="B20" s="13" t="s">
        <v>174</v>
      </c>
      <c r="C20" s="13" t="s">
        <v>222</v>
      </c>
      <c r="D20" s="13" t="s">
        <v>223</v>
      </c>
      <c r="E20" s="14" t="s">
        <v>224</v>
      </c>
      <c r="F20" s="15" t="n">
        <f aca="false">LEN(E20)</f>
        <v>60</v>
      </c>
      <c r="G20" s="16" t="s">
        <v>225</v>
      </c>
      <c r="H20" s="15" t="n">
        <f aca="false">LEN(G20)</f>
        <v>152</v>
      </c>
      <c r="I20" s="13" t="s">
        <v>226</v>
      </c>
      <c r="J20" s="13" t="s">
        <v>227</v>
      </c>
      <c r="K20" s="13" t="s">
        <v>191</v>
      </c>
      <c r="L20" s="18" t="s">
        <v>160</v>
      </c>
      <c r="M20" s="12" t="s">
        <v>80</v>
      </c>
      <c r="N20" s="13" t="s">
        <v>228</v>
      </c>
      <c r="O20" s="13" t="s">
        <v>229</v>
      </c>
      <c r="P20" s="13" t="s">
        <v>230</v>
      </c>
      <c r="Q20" s="15" t="n">
        <f aca="false">LEN(O20)</f>
        <v>72</v>
      </c>
      <c r="R20" s="12" t="n">
        <f aca="false">LEN(P20)</f>
        <v>146</v>
      </c>
    </row>
    <row r="21" customFormat="false" ht="66" hidden="false" customHeight="true" outlineLevel="0" collapsed="false">
      <c r="A21" s="12" t="n">
        <v>17</v>
      </c>
      <c r="B21" s="13" t="s">
        <v>174</v>
      </c>
      <c r="C21" s="13" t="s">
        <v>231</v>
      </c>
      <c r="D21" s="13" t="s">
        <v>232</v>
      </c>
      <c r="E21" s="14" t="s">
        <v>233</v>
      </c>
      <c r="F21" s="15" t="n">
        <f aca="false">LEN(E21)</f>
        <v>59</v>
      </c>
      <c r="G21" s="16" t="s">
        <v>234</v>
      </c>
      <c r="H21" s="15" t="n">
        <f aca="false">LEN(G21)</f>
        <v>158</v>
      </c>
      <c r="I21" s="13" t="s">
        <v>235</v>
      </c>
      <c r="J21" s="13" t="s">
        <v>236</v>
      </c>
      <c r="K21" s="13" t="s">
        <v>191</v>
      </c>
      <c r="L21" s="17" t="s">
        <v>79</v>
      </c>
      <c r="M21" s="12" t="s">
        <v>80</v>
      </c>
      <c r="N21" s="13" t="s">
        <v>237</v>
      </c>
      <c r="O21" s="13" t="s">
        <v>238</v>
      </c>
      <c r="P21" s="13" t="s">
        <v>239</v>
      </c>
      <c r="Q21" s="15" t="n">
        <f aca="false">LEN(O21)</f>
        <v>76</v>
      </c>
      <c r="R21" s="12" t="n">
        <f aca="false">LEN(P21)</f>
        <v>139</v>
      </c>
    </row>
    <row r="22" customFormat="false" ht="66" hidden="false" customHeight="true" outlineLevel="0" collapsed="false">
      <c r="A22" s="12" t="n">
        <v>18</v>
      </c>
      <c r="B22" s="13" t="s">
        <v>240</v>
      </c>
      <c r="C22" s="13" t="s">
        <v>241</v>
      </c>
      <c r="D22" s="13" t="s">
        <v>242</v>
      </c>
      <c r="E22" s="14" t="s">
        <v>243</v>
      </c>
      <c r="F22" s="15" t="n">
        <f aca="false">LEN(E22)</f>
        <v>60</v>
      </c>
      <c r="G22" s="16" t="s">
        <v>244</v>
      </c>
      <c r="H22" s="15" t="n">
        <f aca="false">LEN(G22)</f>
        <v>150</v>
      </c>
      <c r="I22" s="13" t="s">
        <v>245</v>
      </c>
      <c r="J22" s="13" t="s">
        <v>246</v>
      </c>
      <c r="K22" s="13" t="s">
        <v>247</v>
      </c>
      <c r="L22" s="17" t="s">
        <v>79</v>
      </c>
      <c r="M22" s="12" t="s">
        <v>80</v>
      </c>
      <c r="N22" s="13" t="s">
        <v>248</v>
      </c>
      <c r="O22" s="13" t="s">
        <v>249</v>
      </c>
      <c r="P22" s="13" t="s">
        <v>250</v>
      </c>
      <c r="Q22" s="15" t="n">
        <f aca="false">LEN(O22)</f>
        <v>77</v>
      </c>
      <c r="R22" s="12" t="n">
        <f aca="false">LEN(P22)</f>
        <v>173</v>
      </c>
    </row>
    <row r="23" customFormat="false" ht="41.25" hidden="false" customHeight="true" outlineLevel="0" collapsed="false">
      <c r="A23" s="12" t="n">
        <v>19</v>
      </c>
      <c r="B23" s="13" t="s">
        <v>240</v>
      </c>
      <c r="C23" s="13" t="s">
        <v>251</v>
      </c>
      <c r="D23" s="13" t="s">
        <v>252</v>
      </c>
      <c r="E23" s="14" t="s">
        <v>253</v>
      </c>
      <c r="F23" s="15" t="n">
        <f aca="false">LEN(E23)</f>
        <v>58</v>
      </c>
      <c r="G23" s="16" t="s">
        <v>254</v>
      </c>
      <c r="H23" s="15" t="n">
        <f aca="false">LEN(G23)</f>
        <v>155</v>
      </c>
      <c r="I23" s="13" t="s">
        <v>255</v>
      </c>
      <c r="J23" s="13" t="s">
        <v>256</v>
      </c>
      <c r="K23" s="13" t="s">
        <v>257</v>
      </c>
      <c r="L23" s="18" t="s">
        <v>160</v>
      </c>
      <c r="M23" s="12" t="s">
        <v>80</v>
      </c>
      <c r="N23" s="13" t="s">
        <v>258</v>
      </c>
      <c r="O23" s="13" t="s">
        <v>259</v>
      </c>
      <c r="P23" s="13" t="s">
        <v>260</v>
      </c>
      <c r="Q23" s="15" t="n">
        <f aca="false">LEN(O23)</f>
        <v>83</v>
      </c>
      <c r="R23" s="12" t="n">
        <f aca="false">LEN(P23)</f>
        <v>155</v>
      </c>
    </row>
    <row r="24" customFormat="false" ht="54" hidden="false" customHeight="true" outlineLevel="0" collapsed="false">
      <c r="A24" s="12" t="n">
        <v>20</v>
      </c>
      <c r="B24" s="13" t="s">
        <v>240</v>
      </c>
      <c r="C24" s="13" t="s">
        <v>261</v>
      </c>
      <c r="D24" s="13" t="s">
        <v>262</v>
      </c>
      <c r="E24" s="14" t="s">
        <v>263</v>
      </c>
      <c r="F24" s="15" t="n">
        <f aca="false">LEN(E24)</f>
        <v>60</v>
      </c>
      <c r="G24" s="16" t="s">
        <v>264</v>
      </c>
      <c r="H24" s="15" t="n">
        <f aca="false">LEN(G24)</f>
        <v>151</v>
      </c>
      <c r="I24" s="13" t="s">
        <v>265</v>
      </c>
      <c r="J24" s="13" t="s">
        <v>266</v>
      </c>
      <c r="K24" s="13" t="s">
        <v>267</v>
      </c>
      <c r="L24" s="17" t="s">
        <v>79</v>
      </c>
      <c r="M24" s="12" t="s">
        <v>80</v>
      </c>
      <c r="N24" s="13" t="s">
        <v>268</v>
      </c>
      <c r="O24" s="13" t="s">
        <v>269</v>
      </c>
      <c r="P24" s="13" t="s">
        <v>270</v>
      </c>
      <c r="Q24" s="15" t="n">
        <f aca="false">LEN(O24)</f>
        <v>77</v>
      </c>
      <c r="R24" s="12" t="n">
        <f aca="false">LEN(P24)</f>
        <v>195</v>
      </c>
    </row>
    <row r="25" customFormat="false" ht="66" hidden="false" customHeight="true" outlineLevel="0" collapsed="false">
      <c r="A25" s="12" t="n">
        <v>21</v>
      </c>
      <c r="B25" s="13" t="s">
        <v>271</v>
      </c>
      <c r="C25" s="13" t="s">
        <v>272</v>
      </c>
      <c r="D25" s="13" t="s">
        <v>273</v>
      </c>
      <c r="E25" s="14" t="s">
        <v>274</v>
      </c>
      <c r="F25" s="15" t="n">
        <f aca="false">LEN(E25)</f>
        <v>54</v>
      </c>
      <c r="G25" s="16" t="s">
        <v>275</v>
      </c>
      <c r="H25" s="15" t="n">
        <f aca="false">LEN(G25)</f>
        <v>155</v>
      </c>
      <c r="I25" s="13" t="s">
        <v>276</v>
      </c>
      <c r="J25" s="13" t="s">
        <v>277</v>
      </c>
      <c r="K25" s="13" t="s">
        <v>278</v>
      </c>
      <c r="L25" s="17" t="s">
        <v>79</v>
      </c>
      <c r="M25" s="12" t="s">
        <v>80</v>
      </c>
      <c r="N25" s="13" t="s">
        <v>279</v>
      </c>
      <c r="O25" s="13" t="s">
        <v>280</v>
      </c>
      <c r="P25" s="13" t="s">
        <v>281</v>
      </c>
      <c r="Q25" s="15" t="n">
        <f aca="false">LEN(O25)</f>
        <v>63</v>
      </c>
      <c r="R25" s="12" t="n">
        <f aca="false">LEN(P25)</f>
        <v>145</v>
      </c>
    </row>
    <row r="26" customFormat="false" ht="54" hidden="false" customHeight="true" outlineLevel="0" collapsed="false">
      <c r="A26" s="12" t="n">
        <v>22</v>
      </c>
      <c r="B26" s="13" t="s">
        <v>282</v>
      </c>
      <c r="C26" s="13" t="s">
        <v>283</v>
      </c>
      <c r="D26" s="13" t="s">
        <v>284</v>
      </c>
      <c r="E26" s="14" t="s">
        <v>285</v>
      </c>
      <c r="F26" s="15" t="n">
        <f aca="false">LEN(E26)</f>
        <v>56</v>
      </c>
      <c r="G26" s="16" t="s">
        <v>286</v>
      </c>
      <c r="H26" s="15" t="n">
        <f aca="false">LEN(G26)</f>
        <v>147</v>
      </c>
      <c r="I26" s="13" t="s">
        <v>287</v>
      </c>
      <c r="J26" s="13" t="s">
        <v>288</v>
      </c>
      <c r="K26" s="13" t="s">
        <v>289</v>
      </c>
      <c r="L26" s="18" t="s">
        <v>160</v>
      </c>
      <c r="M26" s="12" t="s">
        <v>80</v>
      </c>
      <c r="N26" s="13" t="s">
        <v>290</v>
      </c>
      <c r="O26" s="13" t="s">
        <v>291</v>
      </c>
      <c r="P26" s="13" t="s">
        <v>292</v>
      </c>
      <c r="Q26" s="15" t="n">
        <f aca="false">LEN(O26)</f>
        <v>81</v>
      </c>
      <c r="R26" s="12" t="n">
        <f aca="false">LEN(P26)</f>
        <v>164</v>
      </c>
    </row>
    <row r="27" customFormat="false" ht="54" hidden="false" customHeight="true" outlineLevel="0" collapsed="false">
      <c r="A27" s="12" t="n">
        <v>23</v>
      </c>
      <c r="B27" s="13" t="s">
        <v>282</v>
      </c>
      <c r="C27" s="13" t="s">
        <v>293</v>
      </c>
      <c r="D27" s="13" t="s">
        <v>294</v>
      </c>
      <c r="E27" s="14" t="s">
        <v>295</v>
      </c>
      <c r="F27" s="15" t="n">
        <f aca="false">LEN(E27)</f>
        <v>59</v>
      </c>
      <c r="G27" s="16" t="s">
        <v>296</v>
      </c>
      <c r="H27" s="15" t="n">
        <f aca="false">LEN(G27)</f>
        <v>159</v>
      </c>
      <c r="I27" s="13" t="s">
        <v>297</v>
      </c>
      <c r="J27" s="13" t="s">
        <v>298</v>
      </c>
      <c r="K27" s="13" t="s">
        <v>289</v>
      </c>
      <c r="L27" s="19" t="s">
        <v>299</v>
      </c>
      <c r="M27" s="12" t="s">
        <v>80</v>
      </c>
      <c r="N27" s="13" t="s">
        <v>300</v>
      </c>
      <c r="O27" s="13" t="s">
        <v>301</v>
      </c>
      <c r="P27" s="13" t="s">
        <v>302</v>
      </c>
      <c r="Q27" s="15" t="n">
        <f aca="false">LEN(O27)</f>
        <v>75</v>
      </c>
      <c r="R27" s="12" t="n">
        <f aca="false">LEN(P27)</f>
        <v>169</v>
      </c>
    </row>
    <row r="28" customFormat="false" ht="54" hidden="false" customHeight="true" outlineLevel="0" collapsed="false">
      <c r="A28" s="12" t="n">
        <v>24</v>
      </c>
      <c r="B28" s="13" t="s">
        <v>282</v>
      </c>
      <c r="C28" s="13" t="s">
        <v>303</v>
      </c>
      <c r="D28" s="13" t="s">
        <v>304</v>
      </c>
      <c r="E28" s="14" t="s">
        <v>305</v>
      </c>
      <c r="F28" s="15" t="n">
        <f aca="false">LEN(E28)</f>
        <v>60</v>
      </c>
      <c r="G28" s="16" t="s">
        <v>306</v>
      </c>
      <c r="H28" s="15" t="n">
        <f aca="false">LEN(G28)</f>
        <v>154</v>
      </c>
      <c r="I28" s="13" t="s">
        <v>307</v>
      </c>
      <c r="J28" s="13" t="s">
        <v>308</v>
      </c>
      <c r="K28" s="13" t="s">
        <v>257</v>
      </c>
      <c r="L28" s="19" t="s">
        <v>299</v>
      </c>
      <c r="M28" s="12" t="s">
        <v>80</v>
      </c>
      <c r="N28" s="13" t="s">
        <v>309</v>
      </c>
      <c r="O28" s="13" t="s">
        <v>310</v>
      </c>
      <c r="P28" s="13" t="s">
        <v>311</v>
      </c>
      <c r="Q28" s="15" t="n">
        <f aca="false">LEN(O28)</f>
        <v>79</v>
      </c>
      <c r="R28" s="12" t="n">
        <f aca="false">LEN(P28)</f>
        <v>174</v>
      </c>
    </row>
    <row r="29" customFormat="false" ht="54" hidden="false" customHeight="true" outlineLevel="0" collapsed="false">
      <c r="A29" s="12" t="n">
        <v>25</v>
      </c>
      <c r="B29" s="13" t="s">
        <v>282</v>
      </c>
      <c r="C29" s="13" t="s">
        <v>312</v>
      </c>
      <c r="D29" s="13" t="s">
        <v>313</v>
      </c>
      <c r="E29" s="14" t="s">
        <v>314</v>
      </c>
      <c r="F29" s="15" t="n">
        <f aca="false">LEN(E29)</f>
        <v>54</v>
      </c>
      <c r="G29" s="16" t="s">
        <v>315</v>
      </c>
      <c r="H29" s="15" t="n">
        <f aca="false">LEN(G29)</f>
        <v>155</v>
      </c>
      <c r="I29" s="13" t="s">
        <v>316</v>
      </c>
      <c r="J29" s="13" t="s">
        <v>317</v>
      </c>
      <c r="K29" s="13" t="s">
        <v>318</v>
      </c>
      <c r="L29" s="18" t="s">
        <v>160</v>
      </c>
      <c r="M29" s="12" t="s">
        <v>80</v>
      </c>
      <c r="N29" s="13" t="s">
        <v>319</v>
      </c>
      <c r="O29" s="13" t="s">
        <v>320</v>
      </c>
      <c r="P29" s="13" t="s">
        <v>321</v>
      </c>
      <c r="Q29" s="15" t="n">
        <f aca="false">LEN(O29)</f>
        <v>65</v>
      </c>
      <c r="R29" s="12" t="n">
        <f aca="false">LEN(P29)</f>
        <v>163</v>
      </c>
    </row>
    <row r="30" customFormat="false" ht="41.25" hidden="false" customHeight="true" outlineLevel="0" collapsed="false">
      <c r="A30" s="12" t="n">
        <v>26</v>
      </c>
      <c r="B30" s="13" t="s">
        <v>282</v>
      </c>
      <c r="C30" s="13" t="s">
        <v>322</v>
      </c>
      <c r="D30" s="13" t="s">
        <v>323</v>
      </c>
      <c r="E30" s="14" t="s">
        <v>324</v>
      </c>
      <c r="F30" s="15" t="n">
        <f aca="false">LEN(E30)</f>
        <v>57</v>
      </c>
      <c r="G30" s="16" t="s">
        <v>325</v>
      </c>
      <c r="H30" s="15" t="n">
        <f aca="false">LEN(G30)</f>
        <v>142</v>
      </c>
      <c r="I30" s="13" t="s">
        <v>326</v>
      </c>
      <c r="J30" s="13" t="s">
        <v>327</v>
      </c>
      <c r="K30" s="13" t="s">
        <v>257</v>
      </c>
      <c r="L30" s="17" t="s">
        <v>79</v>
      </c>
      <c r="M30" s="12" t="s">
        <v>80</v>
      </c>
      <c r="N30" s="13" t="s">
        <v>328</v>
      </c>
      <c r="O30" s="13" t="s">
        <v>329</v>
      </c>
      <c r="P30" s="13" t="s">
        <v>330</v>
      </c>
      <c r="Q30" s="15" t="n">
        <f aca="false">LEN(O30)</f>
        <v>48</v>
      </c>
      <c r="R30" s="12" t="n">
        <f aca="false">LEN(P30)</f>
        <v>156</v>
      </c>
    </row>
    <row r="31" customFormat="false" ht="41.25" hidden="false" customHeight="true" outlineLevel="0" collapsed="false">
      <c r="A31" s="12" t="n">
        <v>27</v>
      </c>
      <c r="B31" s="13" t="s">
        <v>282</v>
      </c>
      <c r="C31" s="13" t="s">
        <v>331</v>
      </c>
      <c r="D31" s="13" t="s">
        <v>332</v>
      </c>
      <c r="E31" s="14" t="s">
        <v>333</v>
      </c>
      <c r="F31" s="15" t="n">
        <f aca="false">LEN(E31)</f>
        <v>53</v>
      </c>
      <c r="G31" s="16" t="s">
        <v>334</v>
      </c>
      <c r="H31" s="15" t="n">
        <f aca="false">LEN(G31)</f>
        <v>151</v>
      </c>
      <c r="I31" s="13" t="s">
        <v>335</v>
      </c>
      <c r="J31" s="13" t="s">
        <v>336</v>
      </c>
      <c r="K31" s="13" t="s">
        <v>257</v>
      </c>
      <c r="L31" s="18" t="s">
        <v>160</v>
      </c>
      <c r="M31" s="12" t="s">
        <v>80</v>
      </c>
      <c r="N31" s="13" t="s">
        <v>337</v>
      </c>
      <c r="O31" s="13" t="s">
        <v>338</v>
      </c>
      <c r="P31" s="13" t="s">
        <v>339</v>
      </c>
      <c r="Q31" s="15" t="n">
        <f aca="false">LEN(O31)</f>
        <v>53</v>
      </c>
      <c r="R31" s="12" t="n">
        <f aca="false">LEN(P31)</f>
        <v>151</v>
      </c>
    </row>
    <row r="32" customFormat="false" ht="54" hidden="false" customHeight="true" outlineLevel="0" collapsed="false">
      <c r="A32" s="12" t="n">
        <v>28</v>
      </c>
      <c r="B32" s="13" t="s">
        <v>282</v>
      </c>
      <c r="C32" s="13" t="s">
        <v>340</v>
      </c>
      <c r="D32" s="13" t="s">
        <v>341</v>
      </c>
      <c r="E32" s="14" t="s">
        <v>342</v>
      </c>
      <c r="F32" s="15" t="n">
        <f aca="false">LEN(E32)</f>
        <v>52</v>
      </c>
      <c r="G32" s="16" t="s">
        <v>343</v>
      </c>
      <c r="H32" s="15" t="n">
        <f aca="false">LEN(G32)</f>
        <v>155</v>
      </c>
      <c r="I32" s="13" t="s">
        <v>344</v>
      </c>
      <c r="J32" s="13" t="s">
        <v>345</v>
      </c>
      <c r="K32" s="13" t="s">
        <v>346</v>
      </c>
      <c r="L32" s="17" t="s">
        <v>79</v>
      </c>
      <c r="M32" s="12" t="s">
        <v>80</v>
      </c>
      <c r="N32" s="13" t="s">
        <v>347</v>
      </c>
      <c r="O32" s="13" t="s">
        <v>348</v>
      </c>
      <c r="P32" s="13" t="s">
        <v>349</v>
      </c>
      <c r="Q32" s="15" t="n">
        <f aca="false">LEN(O32)</f>
        <v>94</v>
      </c>
      <c r="R32" s="12" t="n">
        <f aca="false">LEN(P32)</f>
        <v>157</v>
      </c>
    </row>
    <row r="33" customFormat="false" ht="41.25" hidden="false" customHeight="true" outlineLevel="0" collapsed="false">
      <c r="A33" s="12" t="n">
        <v>29</v>
      </c>
      <c r="B33" s="13" t="s">
        <v>282</v>
      </c>
      <c r="C33" s="13" t="s">
        <v>350</v>
      </c>
      <c r="D33" s="13" t="s">
        <v>351</v>
      </c>
      <c r="E33" s="14" t="s">
        <v>352</v>
      </c>
      <c r="F33" s="15" t="n">
        <f aca="false">LEN(E33)</f>
        <v>55</v>
      </c>
      <c r="G33" s="16" t="s">
        <v>353</v>
      </c>
      <c r="H33" s="15" t="n">
        <f aca="false">LEN(G33)</f>
        <v>152</v>
      </c>
      <c r="I33" s="13" t="s">
        <v>354</v>
      </c>
      <c r="J33" s="13" t="s">
        <v>355</v>
      </c>
      <c r="K33" s="13" t="s">
        <v>257</v>
      </c>
      <c r="L33" s="18" t="s">
        <v>160</v>
      </c>
      <c r="M33" s="12" t="s">
        <v>80</v>
      </c>
      <c r="N33" s="13" t="s">
        <v>356</v>
      </c>
      <c r="O33" s="13" t="s">
        <v>357</v>
      </c>
      <c r="P33" s="13" t="s">
        <v>358</v>
      </c>
      <c r="Q33" s="15" t="n">
        <f aca="false">LEN(O33)</f>
        <v>72</v>
      </c>
      <c r="R33" s="12" t="n">
        <f aca="false">LEN(P33)</f>
        <v>135</v>
      </c>
    </row>
    <row r="34" customFormat="false" ht="41.25" hidden="false" customHeight="true" outlineLevel="0" collapsed="false">
      <c r="A34" s="12" t="n">
        <v>30</v>
      </c>
      <c r="B34" s="13" t="s">
        <v>282</v>
      </c>
      <c r="C34" s="13" t="s">
        <v>359</v>
      </c>
      <c r="D34" s="13" t="s">
        <v>360</v>
      </c>
      <c r="E34" s="14" t="s">
        <v>361</v>
      </c>
      <c r="F34" s="15" t="n">
        <f aca="false">LEN(E34)</f>
        <v>54</v>
      </c>
      <c r="G34" s="16" t="s">
        <v>362</v>
      </c>
      <c r="H34" s="15" t="n">
        <f aca="false">LEN(G34)</f>
        <v>146</v>
      </c>
      <c r="I34" s="13" t="s">
        <v>363</v>
      </c>
      <c r="J34" s="13" t="s">
        <v>364</v>
      </c>
      <c r="K34" s="13" t="s">
        <v>257</v>
      </c>
      <c r="L34" s="19" t="s">
        <v>299</v>
      </c>
      <c r="M34" s="12" t="s">
        <v>80</v>
      </c>
      <c r="N34" s="13" t="s">
        <v>365</v>
      </c>
      <c r="O34" s="13" t="s">
        <v>366</v>
      </c>
      <c r="P34" s="13" t="s">
        <v>367</v>
      </c>
      <c r="Q34" s="15" t="n">
        <f aca="false">LEN(O34)</f>
        <v>60</v>
      </c>
      <c r="R34" s="12" t="n">
        <f aca="false">LEN(P34)</f>
        <v>157</v>
      </c>
    </row>
    <row r="35" customFormat="false" ht="41.25" hidden="false" customHeight="true" outlineLevel="0" collapsed="false">
      <c r="A35" s="12" t="n">
        <v>31</v>
      </c>
      <c r="B35" s="13" t="s">
        <v>282</v>
      </c>
      <c r="C35" s="13" t="s">
        <v>368</v>
      </c>
      <c r="D35" s="13" t="s">
        <v>369</v>
      </c>
      <c r="E35" s="14" t="s">
        <v>370</v>
      </c>
      <c r="F35" s="15" t="n">
        <f aca="false">LEN(E35)</f>
        <v>51</v>
      </c>
      <c r="G35" s="16" t="s">
        <v>371</v>
      </c>
      <c r="H35" s="15" t="n">
        <f aca="false">LEN(G35)</f>
        <v>146</v>
      </c>
      <c r="I35" s="13" t="s">
        <v>372</v>
      </c>
      <c r="J35" s="13" t="s">
        <v>373</v>
      </c>
      <c r="K35" s="13" t="s">
        <v>257</v>
      </c>
      <c r="L35" s="18" t="s">
        <v>160</v>
      </c>
      <c r="M35" s="12" t="s">
        <v>80</v>
      </c>
      <c r="N35" s="13" t="s">
        <v>374</v>
      </c>
      <c r="O35" s="13" t="s">
        <v>375</v>
      </c>
      <c r="P35" s="13" t="s">
        <v>376</v>
      </c>
      <c r="Q35" s="15" t="n">
        <f aca="false">LEN(O35)</f>
        <v>63</v>
      </c>
      <c r="R35" s="12" t="n">
        <f aca="false">LEN(P35)</f>
        <v>156</v>
      </c>
    </row>
    <row r="36" customFormat="false" ht="41.25" hidden="false" customHeight="true" outlineLevel="0" collapsed="false">
      <c r="A36" s="12" t="n">
        <v>32</v>
      </c>
      <c r="B36" s="13" t="s">
        <v>282</v>
      </c>
      <c r="C36" s="13" t="s">
        <v>377</v>
      </c>
      <c r="D36" s="13" t="s">
        <v>378</v>
      </c>
      <c r="E36" s="14" t="s">
        <v>379</v>
      </c>
      <c r="F36" s="15" t="n">
        <f aca="false">LEN(E36)</f>
        <v>57</v>
      </c>
      <c r="G36" s="16" t="s">
        <v>380</v>
      </c>
      <c r="H36" s="15" t="n">
        <f aca="false">LEN(G36)</f>
        <v>131</v>
      </c>
      <c r="I36" s="13" t="s">
        <v>381</v>
      </c>
      <c r="J36" s="13" t="s">
        <v>382</v>
      </c>
      <c r="K36" s="13" t="s">
        <v>257</v>
      </c>
      <c r="L36" s="18" t="s">
        <v>160</v>
      </c>
      <c r="M36" s="12" t="s">
        <v>80</v>
      </c>
      <c r="N36" s="13" t="s">
        <v>383</v>
      </c>
      <c r="O36" s="13" t="s">
        <v>384</v>
      </c>
      <c r="P36" s="13" t="s">
        <v>385</v>
      </c>
      <c r="Q36" s="15" t="n">
        <f aca="false">LEN(O36)</f>
        <v>75</v>
      </c>
      <c r="R36" s="12" t="n">
        <f aca="false">LEN(P36)</f>
        <v>149</v>
      </c>
    </row>
    <row r="37" customFormat="false" ht="41.25" hidden="false" customHeight="true" outlineLevel="0" collapsed="false">
      <c r="A37" s="12" t="n">
        <v>33</v>
      </c>
      <c r="B37" s="13" t="s">
        <v>282</v>
      </c>
      <c r="C37" s="13" t="s">
        <v>386</v>
      </c>
      <c r="D37" s="13" t="s">
        <v>387</v>
      </c>
      <c r="E37" s="14" t="s">
        <v>388</v>
      </c>
      <c r="F37" s="15" t="n">
        <f aca="false">LEN(E37)</f>
        <v>59</v>
      </c>
      <c r="G37" s="16" t="s">
        <v>389</v>
      </c>
      <c r="H37" s="15" t="n">
        <f aca="false">LEN(G37)</f>
        <v>150</v>
      </c>
      <c r="I37" s="13" t="s">
        <v>390</v>
      </c>
      <c r="J37" s="13" t="s">
        <v>391</v>
      </c>
      <c r="K37" s="13" t="s">
        <v>346</v>
      </c>
      <c r="L37" s="17" t="s">
        <v>79</v>
      </c>
      <c r="M37" s="12" t="s">
        <v>80</v>
      </c>
      <c r="N37" s="13" t="s">
        <v>392</v>
      </c>
      <c r="O37" s="13" t="s">
        <v>393</v>
      </c>
      <c r="P37" s="13" t="s">
        <v>394</v>
      </c>
      <c r="Q37" s="15" t="n">
        <f aca="false">LEN(O37)</f>
        <v>78</v>
      </c>
      <c r="R37" s="12" t="n">
        <f aca="false">LEN(P37)</f>
        <v>154</v>
      </c>
    </row>
    <row r="38" customFormat="false" ht="41.25" hidden="false" customHeight="true" outlineLevel="0" collapsed="false">
      <c r="A38" s="12" t="n">
        <v>34</v>
      </c>
      <c r="B38" s="13" t="s">
        <v>282</v>
      </c>
      <c r="C38" s="13" t="s">
        <v>395</v>
      </c>
      <c r="D38" s="13" t="s">
        <v>396</v>
      </c>
      <c r="E38" s="14" t="s">
        <v>397</v>
      </c>
      <c r="F38" s="15" t="n">
        <f aca="false">LEN(E38)</f>
        <v>56</v>
      </c>
      <c r="G38" s="16" t="s">
        <v>398</v>
      </c>
      <c r="H38" s="15" t="n">
        <f aca="false">LEN(G38)</f>
        <v>148</v>
      </c>
      <c r="I38" s="13" t="s">
        <v>399</v>
      </c>
      <c r="J38" s="13" t="s">
        <v>400</v>
      </c>
      <c r="K38" s="13" t="s">
        <v>257</v>
      </c>
      <c r="L38" s="18" t="s">
        <v>160</v>
      </c>
      <c r="M38" s="12" t="s">
        <v>80</v>
      </c>
      <c r="N38" s="13" t="s">
        <v>401</v>
      </c>
      <c r="O38" s="13" t="s">
        <v>402</v>
      </c>
      <c r="P38" s="13" t="s">
        <v>403</v>
      </c>
      <c r="Q38" s="15" t="n">
        <f aca="false">LEN(O38)</f>
        <v>71</v>
      </c>
      <c r="R38" s="12" t="n">
        <f aca="false">LEN(P38)</f>
        <v>157</v>
      </c>
    </row>
    <row r="39" customFormat="false" ht="41.25" hidden="false" customHeight="true" outlineLevel="0" collapsed="false">
      <c r="A39" s="12" t="n">
        <v>35</v>
      </c>
      <c r="B39" s="13" t="s">
        <v>282</v>
      </c>
      <c r="C39" s="13" t="s">
        <v>404</v>
      </c>
      <c r="D39" s="13" t="s">
        <v>405</v>
      </c>
      <c r="E39" s="14" t="s">
        <v>406</v>
      </c>
      <c r="F39" s="15" t="n">
        <f aca="false">LEN(E39)</f>
        <v>58</v>
      </c>
      <c r="G39" s="16" t="s">
        <v>407</v>
      </c>
      <c r="H39" s="15" t="n">
        <f aca="false">LEN(G39)</f>
        <v>136</v>
      </c>
      <c r="I39" s="13" t="s">
        <v>408</v>
      </c>
      <c r="J39" s="13" t="s">
        <v>409</v>
      </c>
      <c r="K39" s="13" t="s">
        <v>257</v>
      </c>
      <c r="L39" s="17" t="s">
        <v>79</v>
      </c>
      <c r="M39" s="12" t="s">
        <v>80</v>
      </c>
      <c r="N39" s="13" t="s">
        <v>410</v>
      </c>
      <c r="O39" s="13" t="s">
        <v>411</v>
      </c>
      <c r="P39" s="13" t="s">
        <v>412</v>
      </c>
      <c r="Q39" s="15" t="n">
        <f aca="false">LEN(O39)</f>
        <v>67</v>
      </c>
      <c r="R39" s="12" t="n">
        <f aca="false">LEN(P39)</f>
        <v>147</v>
      </c>
    </row>
    <row r="40" customFormat="false" ht="54" hidden="false" customHeight="true" outlineLevel="0" collapsed="false">
      <c r="A40" s="12" t="n">
        <v>36</v>
      </c>
      <c r="B40" s="13" t="s">
        <v>282</v>
      </c>
      <c r="C40" s="13" t="s">
        <v>413</v>
      </c>
      <c r="D40" s="13" t="s">
        <v>414</v>
      </c>
      <c r="E40" s="14" t="s">
        <v>415</v>
      </c>
      <c r="F40" s="15" t="n">
        <f aca="false">LEN(E40)</f>
        <v>57</v>
      </c>
      <c r="G40" s="16" t="s">
        <v>416</v>
      </c>
      <c r="H40" s="15" t="n">
        <f aca="false">LEN(G40)</f>
        <v>151</v>
      </c>
      <c r="I40" s="13" t="s">
        <v>417</v>
      </c>
      <c r="J40" s="13" t="s">
        <v>418</v>
      </c>
      <c r="K40" s="13" t="s">
        <v>419</v>
      </c>
      <c r="L40" s="17" t="s">
        <v>79</v>
      </c>
      <c r="M40" s="12" t="s">
        <v>80</v>
      </c>
      <c r="N40" s="13" t="s">
        <v>420</v>
      </c>
      <c r="O40" s="13" t="s">
        <v>421</v>
      </c>
      <c r="P40" s="13" t="s">
        <v>422</v>
      </c>
      <c r="Q40" s="15" t="n">
        <f aca="false">LEN(O40)</f>
        <v>91</v>
      </c>
      <c r="R40" s="12" t="n">
        <f aca="false">LEN(P40)</f>
        <v>176</v>
      </c>
    </row>
    <row r="41" customFormat="false" ht="54" hidden="false" customHeight="true" outlineLevel="0" collapsed="false">
      <c r="A41" s="12" t="n">
        <v>37</v>
      </c>
      <c r="B41" s="13" t="s">
        <v>282</v>
      </c>
      <c r="C41" s="13" t="s">
        <v>423</v>
      </c>
      <c r="D41" s="13" t="s">
        <v>424</v>
      </c>
      <c r="E41" s="14" t="s">
        <v>425</v>
      </c>
      <c r="F41" s="15" t="n">
        <f aca="false">LEN(E41)</f>
        <v>54</v>
      </c>
      <c r="G41" s="16" t="s">
        <v>426</v>
      </c>
      <c r="H41" s="15" t="n">
        <f aca="false">LEN(G41)</f>
        <v>151</v>
      </c>
      <c r="I41" s="13" t="s">
        <v>427</v>
      </c>
      <c r="J41" s="13" t="s">
        <v>428</v>
      </c>
      <c r="K41" s="13" t="s">
        <v>429</v>
      </c>
      <c r="L41" s="17" t="s">
        <v>79</v>
      </c>
      <c r="M41" s="12" t="s">
        <v>80</v>
      </c>
      <c r="N41" s="13" t="s">
        <v>430</v>
      </c>
      <c r="O41" s="13" t="s">
        <v>431</v>
      </c>
      <c r="P41" s="13" t="s">
        <v>432</v>
      </c>
      <c r="Q41" s="15" t="n">
        <f aca="false">LEN(O41)</f>
        <v>72</v>
      </c>
      <c r="R41" s="12" t="n">
        <f aca="false">LEN(P41)</f>
        <v>156</v>
      </c>
    </row>
    <row r="42" customFormat="false" ht="78.75" hidden="false" customHeight="true" outlineLevel="0" collapsed="false">
      <c r="A42" s="12" t="n">
        <v>38</v>
      </c>
      <c r="B42" s="13" t="s">
        <v>282</v>
      </c>
      <c r="C42" s="13" t="s">
        <v>433</v>
      </c>
      <c r="D42" s="13" t="s">
        <v>434</v>
      </c>
      <c r="E42" s="14" t="s">
        <v>435</v>
      </c>
      <c r="F42" s="15" t="n">
        <f aca="false">LEN(E42)</f>
        <v>50</v>
      </c>
      <c r="G42" s="16" t="s">
        <v>436</v>
      </c>
      <c r="H42" s="15" t="n">
        <f aca="false">LEN(G42)</f>
        <v>155</v>
      </c>
      <c r="I42" s="13" t="s">
        <v>437</v>
      </c>
      <c r="J42" s="13" t="s">
        <v>438</v>
      </c>
      <c r="K42" s="13" t="s">
        <v>289</v>
      </c>
      <c r="L42" s="18" t="s">
        <v>160</v>
      </c>
      <c r="M42" s="12" t="s">
        <v>80</v>
      </c>
      <c r="N42" s="13" t="s">
        <v>439</v>
      </c>
      <c r="O42" s="13" t="s">
        <v>440</v>
      </c>
      <c r="P42" s="13" t="s">
        <v>441</v>
      </c>
      <c r="Q42" s="15" t="n">
        <f aca="false">LEN(O42)</f>
        <v>66</v>
      </c>
      <c r="R42" s="12" t="n">
        <f aca="false">LEN(P42)</f>
        <v>152</v>
      </c>
    </row>
    <row r="43" customFormat="false" ht="54" hidden="false" customHeight="true" outlineLevel="0" collapsed="false">
      <c r="A43" s="12" t="n">
        <v>39</v>
      </c>
      <c r="B43" s="13" t="s">
        <v>282</v>
      </c>
      <c r="C43" s="13" t="s">
        <v>442</v>
      </c>
      <c r="D43" s="13" t="s">
        <v>443</v>
      </c>
      <c r="E43" s="14" t="s">
        <v>444</v>
      </c>
      <c r="F43" s="15" t="n">
        <f aca="false">LEN(E43)</f>
        <v>55</v>
      </c>
      <c r="G43" s="16" t="s">
        <v>445</v>
      </c>
      <c r="H43" s="15" t="n">
        <f aca="false">LEN(G43)</f>
        <v>156</v>
      </c>
      <c r="I43" s="13" t="s">
        <v>446</v>
      </c>
      <c r="J43" s="13" t="s">
        <v>447</v>
      </c>
      <c r="K43" s="13" t="s">
        <v>448</v>
      </c>
      <c r="L43" s="17" t="s">
        <v>79</v>
      </c>
      <c r="M43" s="12" t="s">
        <v>80</v>
      </c>
      <c r="N43" s="13" t="s">
        <v>449</v>
      </c>
      <c r="O43" s="13" t="s">
        <v>450</v>
      </c>
      <c r="P43" s="13" t="s">
        <v>451</v>
      </c>
      <c r="Q43" s="15" t="n">
        <f aca="false">LEN(O43)</f>
        <v>97</v>
      </c>
      <c r="R43" s="12" t="n">
        <f aca="false">LEN(P43)</f>
        <v>205</v>
      </c>
    </row>
    <row r="44" customFormat="false" ht="41.25" hidden="false" customHeight="true" outlineLevel="0" collapsed="false">
      <c r="A44" s="12" t="n">
        <v>40</v>
      </c>
      <c r="B44" s="13" t="s">
        <v>282</v>
      </c>
      <c r="C44" s="13" t="s">
        <v>452</v>
      </c>
      <c r="D44" s="13" t="s">
        <v>453</v>
      </c>
      <c r="E44" s="14" t="s">
        <v>454</v>
      </c>
      <c r="F44" s="15" t="n">
        <f aca="false">LEN(E44)</f>
        <v>57</v>
      </c>
      <c r="G44" s="16" t="s">
        <v>455</v>
      </c>
      <c r="H44" s="15" t="n">
        <f aca="false">LEN(G44)</f>
        <v>150</v>
      </c>
      <c r="I44" s="13" t="s">
        <v>456</v>
      </c>
      <c r="J44" s="13" t="s">
        <v>457</v>
      </c>
      <c r="K44" s="13" t="s">
        <v>289</v>
      </c>
      <c r="L44" s="18" t="s">
        <v>160</v>
      </c>
      <c r="M44" s="12" t="s">
        <v>80</v>
      </c>
      <c r="N44" s="13" t="s">
        <v>458</v>
      </c>
      <c r="O44" s="13" t="s">
        <v>459</v>
      </c>
      <c r="P44" s="13" t="s">
        <v>460</v>
      </c>
      <c r="Q44" s="15" t="n">
        <f aca="false">LEN(O44)</f>
        <v>66</v>
      </c>
      <c r="R44" s="12" t="n">
        <f aca="false">LEN(P44)</f>
        <v>152</v>
      </c>
    </row>
    <row r="45" customFormat="false" ht="41.25" hidden="false" customHeight="true" outlineLevel="0" collapsed="false">
      <c r="A45" s="12" t="n">
        <v>41</v>
      </c>
      <c r="B45" s="13" t="s">
        <v>461</v>
      </c>
      <c r="C45" s="13" t="s">
        <v>462</v>
      </c>
      <c r="D45" s="13" t="s">
        <v>463</v>
      </c>
      <c r="E45" s="14" t="s">
        <v>464</v>
      </c>
      <c r="F45" s="15" t="n">
        <f aca="false">LEN(E45)</f>
        <v>56</v>
      </c>
      <c r="G45" s="16" t="s">
        <v>465</v>
      </c>
      <c r="H45" s="15" t="n">
        <f aca="false">LEN(G45)</f>
        <v>156</v>
      </c>
      <c r="I45" s="13" t="s">
        <v>466</v>
      </c>
      <c r="J45" s="13" t="s">
        <v>467</v>
      </c>
      <c r="K45" s="13" t="s">
        <v>468</v>
      </c>
      <c r="L45" s="19" t="s">
        <v>299</v>
      </c>
      <c r="M45" s="12" t="s">
        <v>80</v>
      </c>
      <c r="N45" s="13" t="s">
        <v>469</v>
      </c>
      <c r="O45" s="13" t="s">
        <v>464</v>
      </c>
      <c r="P45" s="13" t="s">
        <v>470</v>
      </c>
      <c r="Q45" s="15" t="n">
        <f aca="false">LEN(O45)</f>
        <v>56</v>
      </c>
      <c r="R45" s="12" t="n">
        <f aca="false">LEN(P45)</f>
        <v>150</v>
      </c>
    </row>
    <row r="46" customFormat="false" ht="54" hidden="false" customHeight="true" outlineLevel="0" collapsed="false">
      <c r="A46" s="12" t="n">
        <v>42</v>
      </c>
      <c r="B46" s="13" t="s">
        <v>461</v>
      </c>
      <c r="C46" s="13" t="s">
        <v>471</v>
      </c>
      <c r="D46" s="13" t="s">
        <v>472</v>
      </c>
      <c r="E46" s="14" t="s">
        <v>473</v>
      </c>
      <c r="F46" s="15" t="n">
        <f aca="false">LEN(E46)</f>
        <v>56</v>
      </c>
      <c r="G46" s="16" t="s">
        <v>474</v>
      </c>
      <c r="H46" s="15" t="n">
        <f aca="false">LEN(G46)</f>
        <v>139</v>
      </c>
      <c r="I46" s="13" t="s">
        <v>475</v>
      </c>
      <c r="J46" s="13" t="s">
        <v>476</v>
      </c>
      <c r="K46" s="13" t="s">
        <v>477</v>
      </c>
      <c r="L46" s="19" t="s">
        <v>299</v>
      </c>
      <c r="M46" s="12" t="s">
        <v>80</v>
      </c>
      <c r="N46" s="13" t="s">
        <v>478</v>
      </c>
      <c r="O46" s="13" t="s">
        <v>479</v>
      </c>
      <c r="P46" s="13" t="s">
        <v>480</v>
      </c>
      <c r="Q46" s="15" t="n">
        <f aca="false">LEN(O46)</f>
        <v>56</v>
      </c>
      <c r="R46" s="12" t="n">
        <f aca="false">LEN(P46)</f>
        <v>168</v>
      </c>
    </row>
    <row r="47" customFormat="false" ht="54" hidden="false" customHeight="true" outlineLevel="0" collapsed="false">
      <c r="A47" s="12" t="n">
        <v>43</v>
      </c>
      <c r="B47" s="13" t="s">
        <v>461</v>
      </c>
      <c r="C47" s="13" t="s">
        <v>481</v>
      </c>
      <c r="D47" s="13" t="s">
        <v>482</v>
      </c>
      <c r="E47" s="14" t="s">
        <v>483</v>
      </c>
      <c r="F47" s="15" t="n">
        <f aca="false">LEN(E47)</f>
        <v>50</v>
      </c>
      <c r="G47" s="16" t="s">
        <v>484</v>
      </c>
      <c r="H47" s="15" t="n">
        <f aca="false">LEN(G47)</f>
        <v>153</v>
      </c>
      <c r="I47" s="13" t="s">
        <v>485</v>
      </c>
      <c r="J47" s="13" t="s">
        <v>486</v>
      </c>
      <c r="K47" s="13" t="s">
        <v>487</v>
      </c>
      <c r="L47" s="18" t="s">
        <v>160</v>
      </c>
      <c r="M47" s="12" t="s">
        <v>80</v>
      </c>
      <c r="N47" s="13" t="s">
        <v>488</v>
      </c>
      <c r="O47" s="13" t="s">
        <v>489</v>
      </c>
      <c r="P47" s="13" t="s">
        <v>490</v>
      </c>
      <c r="Q47" s="15" t="n">
        <f aca="false">LEN(O47)</f>
        <v>47</v>
      </c>
      <c r="R47" s="12" t="n">
        <f aca="false">LEN(P47)</f>
        <v>148</v>
      </c>
    </row>
    <row r="48" customFormat="false" ht="54" hidden="false" customHeight="true" outlineLevel="0" collapsed="false">
      <c r="A48" s="12" t="n">
        <v>44</v>
      </c>
      <c r="B48" s="13" t="s">
        <v>491</v>
      </c>
      <c r="C48" s="13" t="s">
        <v>492</v>
      </c>
      <c r="D48" s="13" t="s">
        <v>493</v>
      </c>
      <c r="E48" s="14" t="s">
        <v>494</v>
      </c>
      <c r="F48" s="15" t="n">
        <f aca="false">LEN(E48)</f>
        <v>21</v>
      </c>
      <c r="G48" s="16" t="s">
        <v>495</v>
      </c>
      <c r="H48" s="15" t="n">
        <f aca="false">LEN(G48)</f>
        <v>85</v>
      </c>
      <c r="I48" s="13" t="s">
        <v>496</v>
      </c>
      <c r="J48" s="13" t="s">
        <v>496</v>
      </c>
      <c r="K48" s="13" t="s">
        <v>497</v>
      </c>
      <c r="L48" s="17" t="s">
        <v>79</v>
      </c>
      <c r="M48" s="20" t="s">
        <v>498</v>
      </c>
      <c r="N48" s="13" t="s">
        <v>499</v>
      </c>
      <c r="O48" s="13" t="s">
        <v>500</v>
      </c>
      <c r="P48" s="13" t="s">
        <v>501</v>
      </c>
      <c r="Q48" s="15" t="n">
        <f aca="false">LEN(O48)</f>
        <v>43</v>
      </c>
      <c r="R48" s="12" t="n">
        <f aca="false">LEN(P48)</f>
        <v>161</v>
      </c>
    </row>
    <row r="49" customFormat="false" ht="41.25" hidden="false" customHeight="true" outlineLevel="0" collapsed="false">
      <c r="A49" s="12" t="n">
        <v>45</v>
      </c>
      <c r="B49" s="13" t="s">
        <v>491</v>
      </c>
      <c r="C49" s="13" t="s">
        <v>502</v>
      </c>
      <c r="D49" s="13" t="s">
        <v>503</v>
      </c>
      <c r="E49" s="14" t="s">
        <v>504</v>
      </c>
      <c r="F49" s="15" t="n">
        <f aca="false">LEN(E49)</f>
        <v>35</v>
      </c>
      <c r="G49" s="16" t="s">
        <v>505</v>
      </c>
      <c r="H49" s="15" t="n">
        <f aca="false">LEN(G49)</f>
        <v>101</v>
      </c>
      <c r="I49" s="13" t="s">
        <v>496</v>
      </c>
      <c r="J49" s="13" t="s">
        <v>496</v>
      </c>
      <c r="K49" s="13" t="s">
        <v>497</v>
      </c>
      <c r="L49" s="17" t="s">
        <v>79</v>
      </c>
      <c r="M49" s="20" t="s">
        <v>498</v>
      </c>
      <c r="N49" s="13" t="s">
        <v>506</v>
      </c>
      <c r="O49" s="13" t="s">
        <v>507</v>
      </c>
      <c r="P49" s="13" t="s">
        <v>508</v>
      </c>
      <c r="Q49" s="15" t="n">
        <f aca="false">LEN(O49)</f>
        <v>52</v>
      </c>
      <c r="R49" s="12" t="n">
        <f aca="false">LEN(P49)</f>
        <v>143</v>
      </c>
    </row>
    <row r="50" customFormat="false" ht="41.25" hidden="false" customHeight="true" outlineLevel="0" collapsed="false">
      <c r="A50" s="12" t="n">
        <v>46</v>
      </c>
      <c r="B50" s="13" t="s">
        <v>491</v>
      </c>
      <c r="C50" s="13" t="s">
        <v>509</v>
      </c>
      <c r="D50" s="13" t="s">
        <v>510</v>
      </c>
      <c r="E50" s="14" t="s">
        <v>511</v>
      </c>
      <c r="F50" s="15" t="n">
        <f aca="false">LEN(E50)</f>
        <v>42</v>
      </c>
      <c r="G50" s="16" t="s">
        <v>512</v>
      </c>
      <c r="H50" s="15" t="n">
        <f aca="false">LEN(G50)</f>
        <v>112</v>
      </c>
      <c r="I50" s="13" t="s">
        <v>496</v>
      </c>
      <c r="J50" s="13" t="s">
        <v>496</v>
      </c>
      <c r="K50" s="13" t="s">
        <v>513</v>
      </c>
      <c r="L50" s="18" t="s">
        <v>160</v>
      </c>
      <c r="M50" s="20" t="s">
        <v>498</v>
      </c>
      <c r="N50" s="13" t="s">
        <v>514</v>
      </c>
      <c r="O50" s="13" t="s">
        <v>511</v>
      </c>
      <c r="P50" s="13" t="s">
        <v>515</v>
      </c>
      <c r="Q50" s="15" t="n">
        <f aca="false">LEN(O50)</f>
        <v>42</v>
      </c>
      <c r="R50" s="12" t="n">
        <f aca="false">LEN(P50)</f>
        <v>154</v>
      </c>
    </row>
    <row r="51" customFormat="false" ht="18" hidden="false" customHeight="true" outlineLevel="0" collapsed="false">
      <c r="A51" s="12" t="n">
        <v>47</v>
      </c>
      <c r="B51" s="13" t="s">
        <v>491</v>
      </c>
      <c r="C51" s="13" t="s">
        <v>516</v>
      </c>
      <c r="D51" s="13" t="s">
        <v>517</v>
      </c>
      <c r="E51" s="14" t="s">
        <v>518</v>
      </c>
      <c r="F51" s="15" t="n">
        <f aca="false">LEN(E51)</f>
        <v>23</v>
      </c>
      <c r="G51" s="16" t="s">
        <v>519</v>
      </c>
      <c r="H51" s="15" t="n">
        <f aca="false">LEN(G51)</f>
        <v>46</v>
      </c>
      <c r="I51" s="13" t="s">
        <v>496</v>
      </c>
      <c r="J51" s="13" t="s">
        <v>496</v>
      </c>
      <c r="K51" s="13" t="s">
        <v>520</v>
      </c>
      <c r="L51" s="19" t="s">
        <v>299</v>
      </c>
      <c r="M51" s="20" t="s">
        <v>498</v>
      </c>
      <c r="N51" s="13" t="s">
        <v>521</v>
      </c>
      <c r="O51" s="13" t="s">
        <v>518</v>
      </c>
      <c r="P51" s="13" t="s">
        <v>522</v>
      </c>
      <c r="Q51" s="15" t="n">
        <f aca="false">LEN(O51)</f>
        <v>23</v>
      </c>
      <c r="R51" s="12" t="n">
        <f aca="false">LEN(P51)</f>
        <v>45</v>
      </c>
    </row>
    <row r="52" customFormat="false" ht="28.5" hidden="false" customHeight="true" outlineLevel="0" collapsed="false">
      <c r="A52" s="12" t="n">
        <v>48</v>
      </c>
      <c r="B52" s="13" t="s">
        <v>491</v>
      </c>
      <c r="C52" s="13" t="s">
        <v>523</v>
      </c>
      <c r="D52" s="13" t="s">
        <v>524</v>
      </c>
      <c r="E52" s="14" t="s">
        <v>525</v>
      </c>
      <c r="F52" s="15" t="n">
        <f aca="false">LEN(E52)</f>
        <v>27</v>
      </c>
      <c r="G52" s="16" t="s">
        <v>526</v>
      </c>
      <c r="H52" s="15" t="n">
        <f aca="false">LEN(G52)</f>
        <v>33</v>
      </c>
      <c r="I52" s="13" t="s">
        <v>496</v>
      </c>
      <c r="J52" s="13" t="s">
        <v>496</v>
      </c>
      <c r="K52" s="13" t="s">
        <v>527</v>
      </c>
      <c r="L52" s="19" t="s">
        <v>299</v>
      </c>
      <c r="M52" s="20" t="s">
        <v>498</v>
      </c>
      <c r="N52" s="13" t="s">
        <v>528</v>
      </c>
      <c r="O52" s="13" t="s">
        <v>525</v>
      </c>
      <c r="P52" s="13" t="s">
        <v>529</v>
      </c>
      <c r="Q52" s="15" t="n">
        <f aca="false">LEN(O52)</f>
        <v>27</v>
      </c>
      <c r="R52" s="12" t="n">
        <f aca="false">LEN(P52)</f>
        <v>32</v>
      </c>
    </row>
    <row r="53" customFormat="false" ht="28.5" hidden="false" customHeight="true" outlineLevel="0" collapsed="false">
      <c r="A53" s="12" t="n">
        <v>49</v>
      </c>
      <c r="B53" s="13" t="s">
        <v>491</v>
      </c>
      <c r="C53" s="13" t="s">
        <v>530</v>
      </c>
      <c r="D53" s="13" t="s">
        <v>531</v>
      </c>
      <c r="E53" s="14" t="s">
        <v>532</v>
      </c>
      <c r="F53" s="15" t="n">
        <f aca="false">LEN(E53)</f>
        <v>29</v>
      </c>
      <c r="G53" s="16" t="s">
        <v>533</v>
      </c>
      <c r="H53" s="15" t="n">
        <f aca="false">LEN(G53)</f>
        <v>39</v>
      </c>
      <c r="I53" s="13" t="s">
        <v>496</v>
      </c>
      <c r="J53" s="13" t="s">
        <v>496</v>
      </c>
      <c r="K53" s="13" t="s">
        <v>527</v>
      </c>
      <c r="L53" s="19" t="s">
        <v>299</v>
      </c>
      <c r="M53" s="20" t="s">
        <v>498</v>
      </c>
      <c r="N53" s="13" t="s">
        <v>521</v>
      </c>
      <c r="O53" s="13" t="s">
        <v>532</v>
      </c>
      <c r="P53" s="13" t="s">
        <v>534</v>
      </c>
      <c r="Q53" s="15" t="n">
        <f aca="false">LEN(O53)</f>
        <v>29</v>
      </c>
      <c r="R53" s="12" t="n">
        <f aca="false">LEN(P53)</f>
        <v>38</v>
      </c>
    </row>
  </sheetData>
  <autoFilter ref="A4:R53"/>
  <mergeCells count="1">
    <mergeCell ref="A2:N2"/>
  </mergeCells>
  <conditionalFormatting sqref="F5:F53">
    <cfRule type="expression" priority="2" aboveAverage="0" equalAverage="0" bottom="0" percent="0" rank="0" text="" dxfId="9">
      <formula>F5&gt;60</formula>
    </cfRule>
  </conditionalFormatting>
  <conditionalFormatting sqref="H5:H53">
    <cfRule type="expression" priority="3" aboveAverage="0" equalAverage="0" bottom="0" percent="0" rank="0" text="" dxfId="9">
      <formula>AND($M5&lt;&gt;"NOINDEX",H5&gt;160)</formula>
    </cfRule>
    <cfRule type="expression" priority="4" aboveAverage="0" equalAverage="0" bottom="0" percent="0" rank="0" text="" dxfId="10">
      <formula>AND($M5&lt;&gt;"NOINDEX",H5&lt;125)</formula>
    </cfRule>
  </conditionalFormatting>
  <conditionalFormatting sqref="Q5:Q53">
    <cfRule type="expression" priority="5" aboveAverage="0" equalAverage="0" bottom="0" percent="0" rank="0" text="" dxfId="10">
      <formula>Q5&gt;60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928"/>
    <pageSetUpPr fitToPage="false"/>
  </sheetPr>
  <dimension ref="A1:R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
    <col collapsed="false" customWidth="true" hidden="false" outlineLevel="0" max="3" min="3" style="0" width="24"/>
    <col collapsed="false" customWidth="true" hidden="false" outlineLevel="0" max="4" min="4" style="0" width="36"/>
    <col collapsed="false" customWidth="true" hidden="false" outlineLevel="0" max="5" min="5" style="0" width="44"/>
    <col collapsed="false" customWidth="true" hidden="false" outlineLevel="0" max="6" min="6" style="0" width="8"/>
    <col collapsed="false" customWidth="true" hidden="false" outlineLevel="0" max="7" min="7" style="0" width="62"/>
    <col collapsed="false" customWidth="true" hidden="false" outlineLevel="0" max="8" min="8" style="0" width="8"/>
    <col collapsed="false" customWidth="true" hidden="false" outlineLevel="0" max="9" min="9" style="0" width="24"/>
    <col collapsed="false" customWidth="true" hidden="false" outlineLevel="0" max="10" min="10" style="0" width="36"/>
    <col collapsed="false" customWidth="true" hidden="false" outlineLevel="0" max="11" min="11" style="0" width="18"/>
    <col collapsed="false" customWidth="true" hidden="false" outlineLevel="0" max="12" min="12" style="0" width="8"/>
    <col collapsed="false" customWidth="true" hidden="false" outlineLevel="0" max="13" min="13" style="0" width="10"/>
    <col collapsed="false" customWidth="true" hidden="false" outlineLevel="0" max="14" min="14" style="0" width="70"/>
    <col collapsed="false" customWidth="true" hidden="false" outlineLevel="0" max="15" min="15" style="0" width="40"/>
    <col collapsed="false" customWidth="true" hidden="false" outlineLevel="0" max="16" min="16" style="0" width="50"/>
    <col collapsed="false" customWidth="true" hidden="false" outlineLevel="0" max="18" min="17" style="0" width="8"/>
  </cols>
  <sheetData>
    <row r="1" customFormat="false" ht="17.35" hidden="false" customHeight="false" outlineLevel="0" collapsed="false">
      <c r="A1" s="9" t="s">
        <v>535</v>
      </c>
    </row>
    <row r="2" customFormat="false" ht="39.75" hidden="false" customHeight="true" outlineLevel="0" collapsed="false">
      <c r="A2" s="10" t="s">
        <v>536</v>
      </c>
      <c r="B2" s="10"/>
      <c r="C2" s="10"/>
      <c r="D2" s="10"/>
      <c r="E2" s="10"/>
      <c r="F2" s="10"/>
      <c r="G2" s="10"/>
      <c r="H2" s="10"/>
      <c r="I2" s="10"/>
      <c r="J2" s="10"/>
      <c r="K2" s="10"/>
      <c r="L2" s="10"/>
      <c r="M2" s="10"/>
      <c r="N2" s="10"/>
    </row>
    <row r="4" customFormat="false" ht="31.5" hidden="false" customHeight="true" outlineLevel="0" collapsed="false">
      <c r="A4" s="11" t="s">
        <v>53</v>
      </c>
      <c r="B4" s="11" t="s">
        <v>54</v>
      </c>
      <c r="C4" s="11" t="s">
        <v>55</v>
      </c>
      <c r="D4" s="11" t="s">
        <v>56</v>
      </c>
      <c r="E4" s="11" t="s">
        <v>57</v>
      </c>
      <c r="F4" s="11" t="s">
        <v>58</v>
      </c>
      <c r="G4" s="11" t="s">
        <v>59</v>
      </c>
      <c r="H4" s="11" t="s">
        <v>60</v>
      </c>
      <c r="I4" s="11" t="s">
        <v>61</v>
      </c>
      <c r="J4" s="11" t="s">
        <v>62</v>
      </c>
      <c r="K4" s="11" t="s">
        <v>63</v>
      </c>
      <c r="L4" s="11" t="s">
        <v>64</v>
      </c>
      <c r="M4" s="11" t="s">
        <v>65</v>
      </c>
      <c r="N4" s="11" t="s">
        <v>66</v>
      </c>
      <c r="O4" s="11" t="s">
        <v>67</v>
      </c>
      <c r="P4" s="11" t="s">
        <v>68</v>
      </c>
      <c r="Q4" s="11" t="s">
        <v>69</v>
      </c>
      <c r="R4" s="11" t="s">
        <v>70</v>
      </c>
    </row>
    <row r="5" customFormat="false" ht="54" hidden="false" customHeight="true" outlineLevel="0" collapsed="false">
      <c r="A5" s="12" t="n">
        <v>1</v>
      </c>
      <c r="B5" s="13" t="s">
        <v>537</v>
      </c>
      <c r="C5" s="13" t="s">
        <v>538</v>
      </c>
      <c r="D5" s="13" t="s">
        <v>539</v>
      </c>
      <c r="E5" s="14" t="s">
        <v>540</v>
      </c>
      <c r="F5" s="15" t="n">
        <f aca="false">LEN(E5)</f>
        <v>60</v>
      </c>
      <c r="G5" s="16" t="s">
        <v>541</v>
      </c>
      <c r="H5" s="15" t="n">
        <f aca="false">LEN(G5)</f>
        <v>153</v>
      </c>
      <c r="I5" s="13" t="s">
        <v>542</v>
      </c>
      <c r="J5" s="13" t="s">
        <v>543</v>
      </c>
      <c r="K5" s="13" t="s">
        <v>278</v>
      </c>
      <c r="L5" s="17" t="s">
        <v>79</v>
      </c>
      <c r="M5" s="12" t="s">
        <v>80</v>
      </c>
      <c r="N5" s="13" t="s">
        <v>544</v>
      </c>
      <c r="O5" s="13" t="s">
        <v>545</v>
      </c>
      <c r="P5" s="13" t="s">
        <v>546</v>
      </c>
      <c r="Q5" s="15" t="n">
        <f aca="false">LEN(O5)</f>
        <v>74</v>
      </c>
      <c r="R5" s="12" t="n">
        <f aca="false">LEN(P5)</f>
        <v>174</v>
      </c>
    </row>
    <row r="6" customFormat="false" ht="66" hidden="false" customHeight="true" outlineLevel="0" collapsed="false">
      <c r="A6" s="12" t="n">
        <v>2</v>
      </c>
      <c r="B6" s="13" t="s">
        <v>537</v>
      </c>
      <c r="C6" s="13" t="s">
        <v>547</v>
      </c>
      <c r="D6" s="13" t="s">
        <v>548</v>
      </c>
      <c r="E6" s="14" t="s">
        <v>549</v>
      </c>
      <c r="F6" s="15" t="n">
        <f aca="false">LEN(E6)</f>
        <v>57</v>
      </c>
      <c r="G6" s="16" t="s">
        <v>550</v>
      </c>
      <c r="H6" s="15" t="n">
        <f aca="false">LEN(G6)</f>
        <v>157</v>
      </c>
      <c r="I6" s="13" t="s">
        <v>551</v>
      </c>
      <c r="J6" s="13" t="s">
        <v>552</v>
      </c>
      <c r="K6" s="13" t="s">
        <v>553</v>
      </c>
      <c r="L6" s="19" t="s">
        <v>299</v>
      </c>
      <c r="M6" s="12" t="s">
        <v>80</v>
      </c>
      <c r="N6" s="13" t="s">
        <v>554</v>
      </c>
      <c r="O6" s="13" t="s">
        <v>555</v>
      </c>
      <c r="P6" s="13" t="s">
        <v>556</v>
      </c>
      <c r="Q6" s="15" t="n">
        <f aca="false">LEN(O6)</f>
        <v>78</v>
      </c>
      <c r="R6" s="12" t="n">
        <f aca="false">LEN(P6)</f>
        <v>222</v>
      </c>
    </row>
    <row r="7" customFormat="false" ht="41.25" hidden="false" customHeight="true" outlineLevel="0" collapsed="false">
      <c r="A7" s="12" t="n">
        <v>3</v>
      </c>
      <c r="B7" s="13" t="s">
        <v>537</v>
      </c>
      <c r="C7" s="13" t="s">
        <v>557</v>
      </c>
      <c r="D7" s="13" t="s">
        <v>558</v>
      </c>
      <c r="E7" s="14" t="s">
        <v>559</v>
      </c>
      <c r="F7" s="15" t="n">
        <f aca="false">LEN(E7)</f>
        <v>59</v>
      </c>
      <c r="G7" s="16" t="s">
        <v>560</v>
      </c>
      <c r="H7" s="15" t="n">
        <f aca="false">LEN(G7)</f>
        <v>151</v>
      </c>
      <c r="I7" s="13" t="s">
        <v>561</v>
      </c>
      <c r="J7" s="13" t="s">
        <v>562</v>
      </c>
      <c r="K7" s="13" t="s">
        <v>563</v>
      </c>
      <c r="L7" s="19" t="s">
        <v>299</v>
      </c>
      <c r="M7" s="12" t="s">
        <v>80</v>
      </c>
      <c r="N7" s="13" t="s">
        <v>564</v>
      </c>
      <c r="O7" s="13" t="s">
        <v>565</v>
      </c>
      <c r="P7" s="13" t="s">
        <v>566</v>
      </c>
      <c r="Q7" s="15" t="n">
        <f aca="false">LEN(O7)</f>
        <v>33</v>
      </c>
      <c r="R7" s="12" t="n">
        <f aca="false">LEN(P7)</f>
        <v>87</v>
      </c>
    </row>
    <row r="8" customFormat="false" ht="41.25" hidden="false" customHeight="true" outlineLevel="0" collapsed="false">
      <c r="A8" s="12" t="n">
        <v>4</v>
      </c>
      <c r="B8" s="13" t="s">
        <v>537</v>
      </c>
      <c r="C8" s="13" t="s">
        <v>567</v>
      </c>
      <c r="D8" s="13" t="s">
        <v>568</v>
      </c>
      <c r="E8" s="14" t="s">
        <v>569</v>
      </c>
      <c r="F8" s="15" t="n">
        <f aca="false">LEN(E8)</f>
        <v>56</v>
      </c>
      <c r="G8" s="16" t="s">
        <v>570</v>
      </c>
      <c r="H8" s="15" t="n">
        <f aca="false">LEN(G8)</f>
        <v>147</v>
      </c>
      <c r="I8" s="13" t="s">
        <v>571</v>
      </c>
      <c r="J8" s="13" t="s">
        <v>572</v>
      </c>
      <c r="K8" s="13" t="s">
        <v>573</v>
      </c>
      <c r="L8" s="18" t="s">
        <v>160</v>
      </c>
      <c r="M8" s="12" t="s">
        <v>80</v>
      </c>
      <c r="N8" s="13" t="s">
        <v>574</v>
      </c>
      <c r="O8" s="13" t="s">
        <v>575</v>
      </c>
      <c r="P8" s="13" t="s">
        <v>576</v>
      </c>
      <c r="Q8" s="15" t="n">
        <f aca="false">LEN(O8)</f>
        <v>34</v>
      </c>
      <c r="R8" s="12" t="n">
        <f aca="false">LEN(P8)</f>
        <v>101</v>
      </c>
    </row>
    <row r="9" customFormat="false" ht="41.25" hidden="false" customHeight="true" outlineLevel="0" collapsed="false">
      <c r="A9" s="12" t="n">
        <v>5</v>
      </c>
      <c r="B9" s="13" t="s">
        <v>577</v>
      </c>
      <c r="C9" s="13" t="s">
        <v>578</v>
      </c>
      <c r="D9" s="13" t="s">
        <v>579</v>
      </c>
      <c r="E9" s="14" t="s">
        <v>580</v>
      </c>
      <c r="F9" s="15" t="n">
        <f aca="false">LEN(E9)</f>
        <v>51</v>
      </c>
      <c r="G9" s="16" t="s">
        <v>581</v>
      </c>
      <c r="H9" s="15" t="n">
        <f aca="false">LEN(G9)</f>
        <v>147</v>
      </c>
      <c r="I9" s="13" t="s">
        <v>582</v>
      </c>
      <c r="J9" s="13" t="s">
        <v>583</v>
      </c>
      <c r="K9" s="13" t="s">
        <v>278</v>
      </c>
      <c r="L9" s="19" t="s">
        <v>299</v>
      </c>
      <c r="M9" s="12" t="s">
        <v>80</v>
      </c>
      <c r="N9" s="13" t="s">
        <v>584</v>
      </c>
      <c r="O9" s="13" t="s">
        <v>585</v>
      </c>
      <c r="P9" s="13" t="s">
        <v>586</v>
      </c>
      <c r="Q9" s="15" t="n">
        <f aca="false">LEN(O9)</f>
        <v>54</v>
      </c>
      <c r="R9" s="12" t="n">
        <f aca="false">LEN(P9)</f>
        <v>138</v>
      </c>
    </row>
    <row r="10" customFormat="false" ht="41.25" hidden="false" customHeight="true" outlineLevel="0" collapsed="false">
      <c r="A10" s="12" t="n">
        <v>6</v>
      </c>
      <c r="B10" s="13" t="s">
        <v>577</v>
      </c>
      <c r="C10" s="13" t="s">
        <v>587</v>
      </c>
      <c r="D10" s="13" t="s">
        <v>588</v>
      </c>
      <c r="E10" s="14" t="s">
        <v>589</v>
      </c>
      <c r="F10" s="15" t="n">
        <f aca="false">LEN(E10)</f>
        <v>54</v>
      </c>
      <c r="G10" s="16" t="s">
        <v>590</v>
      </c>
      <c r="H10" s="15" t="n">
        <f aca="false">LEN(G10)</f>
        <v>135</v>
      </c>
      <c r="I10" s="13" t="s">
        <v>591</v>
      </c>
      <c r="J10" s="13" t="s">
        <v>592</v>
      </c>
      <c r="K10" s="13" t="s">
        <v>278</v>
      </c>
      <c r="L10" s="18" t="s">
        <v>160</v>
      </c>
      <c r="M10" s="12" t="s">
        <v>80</v>
      </c>
      <c r="N10" s="13" t="s">
        <v>593</v>
      </c>
      <c r="O10" s="13" t="s">
        <v>594</v>
      </c>
      <c r="P10" s="13" t="s">
        <v>595</v>
      </c>
      <c r="Q10" s="15" t="n">
        <f aca="false">LEN(O10)</f>
        <v>43</v>
      </c>
      <c r="R10" s="12" t="n">
        <f aca="false">LEN(P10)</f>
        <v>49</v>
      </c>
    </row>
    <row r="11" customFormat="false" ht="41.25" hidden="false" customHeight="true" outlineLevel="0" collapsed="false">
      <c r="A11" s="12" t="n">
        <v>7</v>
      </c>
      <c r="B11" s="13" t="s">
        <v>577</v>
      </c>
      <c r="C11" s="13" t="s">
        <v>596</v>
      </c>
      <c r="D11" s="13" t="s">
        <v>597</v>
      </c>
      <c r="E11" s="14" t="s">
        <v>598</v>
      </c>
      <c r="F11" s="15" t="n">
        <f aca="false">LEN(E11)</f>
        <v>53</v>
      </c>
      <c r="G11" s="16" t="s">
        <v>599</v>
      </c>
      <c r="H11" s="15" t="n">
        <f aca="false">LEN(G11)</f>
        <v>131</v>
      </c>
      <c r="I11" s="13" t="s">
        <v>600</v>
      </c>
      <c r="J11" s="13" t="s">
        <v>601</v>
      </c>
      <c r="K11" s="13" t="s">
        <v>278</v>
      </c>
      <c r="L11" s="18" t="s">
        <v>160</v>
      </c>
      <c r="M11" s="12" t="s">
        <v>80</v>
      </c>
      <c r="N11" s="13" t="s">
        <v>593</v>
      </c>
      <c r="O11" s="13" t="s">
        <v>602</v>
      </c>
      <c r="P11" s="13" t="s">
        <v>603</v>
      </c>
      <c r="Q11" s="15" t="n">
        <f aca="false">LEN(O11)</f>
        <v>34</v>
      </c>
      <c r="R11" s="12" t="n">
        <f aca="false">LEN(P11)</f>
        <v>54</v>
      </c>
    </row>
    <row r="12" customFormat="false" ht="28.5" hidden="false" customHeight="true" outlineLevel="0" collapsed="false">
      <c r="A12" s="12" t="n">
        <v>8</v>
      </c>
      <c r="B12" s="13" t="s">
        <v>577</v>
      </c>
      <c r="C12" s="13" t="s">
        <v>604</v>
      </c>
      <c r="D12" s="13" t="s">
        <v>605</v>
      </c>
      <c r="E12" s="14" t="s">
        <v>606</v>
      </c>
      <c r="F12" s="15" t="n">
        <f aca="false">LEN(E12)</f>
        <v>54</v>
      </c>
      <c r="G12" s="16" t="s">
        <v>607</v>
      </c>
      <c r="H12" s="15" t="n">
        <f aca="false">LEN(G12)</f>
        <v>130</v>
      </c>
      <c r="I12" s="13" t="s">
        <v>608</v>
      </c>
      <c r="J12" s="13" t="s">
        <v>609</v>
      </c>
      <c r="K12" s="13" t="s">
        <v>278</v>
      </c>
      <c r="L12" s="19" t="s">
        <v>299</v>
      </c>
      <c r="M12" s="20" t="s">
        <v>498</v>
      </c>
      <c r="N12" s="13" t="s">
        <v>610</v>
      </c>
      <c r="O12" s="13" t="s">
        <v>611</v>
      </c>
      <c r="P12" s="13" t="s">
        <v>612</v>
      </c>
      <c r="Q12" s="15" t="n">
        <f aca="false">LEN(O12)</f>
        <v>34</v>
      </c>
      <c r="R12" s="12" t="n">
        <f aca="false">LEN(P12)</f>
        <v>41</v>
      </c>
    </row>
    <row r="13" customFormat="false" ht="41.25" hidden="false" customHeight="true" outlineLevel="0" collapsed="false">
      <c r="A13" s="12" t="n">
        <v>9</v>
      </c>
      <c r="B13" s="13" t="s">
        <v>577</v>
      </c>
      <c r="C13" s="13" t="s">
        <v>613</v>
      </c>
      <c r="D13" s="13" t="s">
        <v>614</v>
      </c>
      <c r="E13" s="14" t="s">
        <v>615</v>
      </c>
      <c r="F13" s="15" t="n">
        <f aca="false">LEN(E13)</f>
        <v>52</v>
      </c>
      <c r="G13" s="16" t="s">
        <v>616</v>
      </c>
      <c r="H13" s="15" t="n">
        <f aca="false">LEN(G13)</f>
        <v>148</v>
      </c>
      <c r="I13" s="13" t="s">
        <v>617</v>
      </c>
      <c r="J13" s="13" t="s">
        <v>618</v>
      </c>
      <c r="K13" s="13" t="s">
        <v>278</v>
      </c>
      <c r="L13" s="18" t="s">
        <v>160</v>
      </c>
      <c r="M13" s="12" t="s">
        <v>80</v>
      </c>
      <c r="N13" s="13" t="s">
        <v>593</v>
      </c>
      <c r="O13" s="13" t="s">
        <v>619</v>
      </c>
      <c r="P13" s="13" t="s">
        <v>620</v>
      </c>
      <c r="Q13" s="15" t="n">
        <f aca="false">LEN(O13)</f>
        <v>40</v>
      </c>
      <c r="R13" s="12" t="n">
        <f aca="false">LEN(P13)</f>
        <v>36</v>
      </c>
    </row>
    <row r="14" customFormat="false" ht="28.5" hidden="false" customHeight="true" outlineLevel="0" collapsed="false">
      <c r="A14" s="12" t="n">
        <v>10</v>
      </c>
      <c r="B14" s="13" t="s">
        <v>577</v>
      </c>
      <c r="C14" s="13" t="s">
        <v>621</v>
      </c>
      <c r="D14" s="13" t="s">
        <v>622</v>
      </c>
      <c r="E14" s="14" t="s">
        <v>623</v>
      </c>
      <c r="F14" s="15" t="n">
        <f aca="false">LEN(E14)</f>
        <v>48</v>
      </c>
      <c r="G14" s="16" t="s">
        <v>624</v>
      </c>
      <c r="H14" s="15" t="n">
        <f aca="false">LEN(G14)</f>
        <v>127</v>
      </c>
      <c r="I14" s="13" t="s">
        <v>625</v>
      </c>
      <c r="J14" s="13" t="s">
        <v>626</v>
      </c>
      <c r="K14" s="13" t="s">
        <v>278</v>
      </c>
      <c r="L14" s="18" t="s">
        <v>160</v>
      </c>
      <c r="M14" s="12" t="s">
        <v>80</v>
      </c>
      <c r="N14" s="13" t="s">
        <v>593</v>
      </c>
      <c r="O14" s="13" t="s">
        <v>627</v>
      </c>
      <c r="P14" s="13" t="s">
        <v>628</v>
      </c>
      <c r="Q14" s="15" t="n">
        <f aca="false">LEN(O14)</f>
        <v>43</v>
      </c>
      <c r="R14" s="12" t="n">
        <f aca="false">LEN(P14)</f>
        <v>40</v>
      </c>
    </row>
    <row r="15" customFormat="false" ht="41.25" hidden="false" customHeight="true" outlineLevel="0" collapsed="false">
      <c r="A15" s="12" t="n">
        <v>11</v>
      </c>
      <c r="B15" s="13" t="s">
        <v>577</v>
      </c>
      <c r="C15" s="13" t="s">
        <v>629</v>
      </c>
      <c r="D15" s="13" t="s">
        <v>630</v>
      </c>
      <c r="E15" s="14" t="s">
        <v>631</v>
      </c>
      <c r="F15" s="15" t="n">
        <f aca="false">LEN(E15)</f>
        <v>54</v>
      </c>
      <c r="G15" s="16" t="s">
        <v>632</v>
      </c>
      <c r="H15" s="15" t="n">
        <f aca="false">LEN(G15)</f>
        <v>140</v>
      </c>
      <c r="I15" s="13" t="s">
        <v>633</v>
      </c>
      <c r="J15" s="13" t="s">
        <v>634</v>
      </c>
      <c r="K15" s="13" t="s">
        <v>278</v>
      </c>
      <c r="L15" s="19" t="s">
        <v>299</v>
      </c>
      <c r="M15" s="12" t="s">
        <v>80</v>
      </c>
      <c r="N15" s="13" t="s">
        <v>593</v>
      </c>
      <c r="O15" s="13" t="s">
        <v>635</v>
      </c>
      <c r="P15" s="13" t="s">
        <v>636</v>
      </c>
      <c r="Q15" s="15" t="n">
        <f aca="false">LEN(O15)</f>
        <v>45</v>
      </c>
      <c r="R15" s="12" t="n">
        <f aca="false">LEN(P15)</f>
        <v>37</v>
      </c>
    </row>
    <row r="16" customFormat="false" ht="28.5" hidden="false" customHeight="true" outlineLevel="0" collapsed="false">
      <c r="A16" s="12" t="n">
        <v>12</v>
      </c>
      <c r="B16" s="13" t="s">
        <v>577</v>
      </c>
      <c r="C16" s="13" t="s">
        <v>637</v>
      </c>
      <c r="D16" s="13" t="s">
        <v>638</v>
      </c>
      <c r="E16" s="14" t="s">
        <v>639</v>
      </c>
      <c r="F16" s="15" t="n">
        <f aca="false">LEN(E16)</f>
        <v>58</v>
      </c>
      <c r="G16" s="16" t="s">
        <v>640</v>
      </c>
      <c r="H16" s="15" t="n">
        <f aca="false">LEN(G16)</f>
        <v>125</v>
      </c>
      <c r="I16" s="13" t="s">
        <v>641</v>
      </c>
      <c r="J16" s="13" t="s">
        <v>642</v>
      </c>
      <c r="K16" s="13" t="s">
        <v>278</v>
      </c>
      <c r="L16" s="19" t="s">
        <v>299</v>
      </c>
      <c r="M16" s="12" t="s">
        <v>80</v>
      </c>
      <c r="N16" s="13" t="s">
        <v>643</v>
      </c>
      <c r="O16" s="13" t="s">
        <v>644</v>
      </c>
      <c r="P16" s="13" t="s">
        <v>645</v>
      </c>
      <c r="Q16" s="15" t="n">
        <f aca="false">LEN(O16)</f>
        <v>47</v>
      </c>
      <c r="R16" s="12" t="n">
        <f aca="false">LEN(P16)</f>
        <v>36</v>
      </c>
    </row>
    <row r="17" customFormat="false" ht="41.25" hidden="false" customHeight="true" outlineLevel="0" collapsed="false">
      <c r="A17" s="12" t="n">
        <v>13</v>
      </c>
      <c r="B17" s="13" t="s">
        <v>577</v>
      </c>
      <c r="C17" s="13" t="s">
        <v>646</v>
      </c>
      <c r="D17" s="13" t="s">
        <v>647</v>
      </c>
      <c r="E17" s="14" t="s">
        <v>648</v>
      </c>
      <c r="F17" s="15" t="n">
        <f aca="false">LEN(E17)</f>
        <v>49</v>
      </c>
      <c r="G17" s="16" t="s">
        <v>649</v>
      </c>
      <c r="H17" s="15" t="n">
        <f aca="false">LEN(G17)</f>
        <v>136</v>
      </c>
      <c r="I17" s="13" t="s">
        <v>650</v>
      </c>
      <c r="J17" s="13" t="s">
        <v>651</v>
      </c>
      <c r="K17" s="13" t="s">
        <v>278</v>
      </c>
      <c r="L17" s="18" t="s">
        <v>160</v>
      </c>
      <c r="M17" s="12" t="s">
        <v>80</v>
      </c>
      <c r="N17" s="13" t="s">
        <v>652</v>
      </c>
      <c r="O17" s="13" t="s">
        <v>653</v>
      </c>
      <c r="P17" s="13" t="s">
        <v>654</v>
      </c>
      <c r="Q17" s="15" t="n">
        <f aca="false">LEN(O17)</f>
        <v>41</v>
      </c>
      <c r="R17" s="12" t="n">
        <f aca="false">LEN(P17)</f>
        <v>46</v>
      </c>
    </row>
    <row r="18" customFormat="false" ht="41.25" hidden="false" customHeight="true" outlineLevel="0" collapsed="false">
      <c r="A18" s="12" t="n">
        <v>14</v>
      </c>
      <c r="B18" s="13" t="s">
        <v>577</v>
      </c>
      <c r="C18" s="13" t="s">
        <v>655</v>
      </c>
      <c r="D18" s="13" t="s">
        <v>656</v>
      </c>
      <c r="E18" s="14" t="s">
        <v>657</v>
      </c>
      <c r="F18" s="15" t="n">
        <f aca="false">LEN(E18)</f>
        <v>58</v>
      </c>
      <c r="G18" s="16" t="s">
        <v>658</v>
      </c>
      <c r="H18" s="15" t="n">
        <f aca="false">LEN(G18)</f>
        <v>134</v>
      </c>
      <c r="I18" s="13" t="s">
        <v>659</v>
      </c>
      <c r="J18" s="13" t="s">
        <v>660</v>
      </c>
      <c r="K18" s="13" t="s">
        <v>278</v>
      </c>
      <c r="L18" s="19" t="s">
        <v>299</v>
      </c>
      <c r="M18" s="12" t="s">
        <v>80</v>
      </c>
      <c r="N18" s="13" t="s">
        <v>593</v>
      </c>
      <c r="O18" s="13" t="s">
        <v>661</v>
      </c>
      <c r="P18" s="13" t="s">
        <v>662</v>
      </c>
      <c r="Q18" s="15" t="n">
        <f aca="false">LEN(O18)</f>
        <v>36</v>
      </c>
      <c r="R18" s="12" t="n">
        <f aca="false">LEN(P18)</f>
        <v>38</v>
      </c>
    </row>
    <row r="19" customFormat="false" ht="41.25" hidden="false" customHeight="true" outlineLevel="0" collapsed="false">
      <c r="A19" s="12" t="n">
        <v>15</v>
      </c>
      <c r="B19" s="13" t="s">
        <v>577</v>
      </c>
      <c r="C19" s="13" t="s">
        <v>663</v>
      </c>
      <c r="D19" s="13" t="s">
        <v>664</v>
      </c>
      <c r="E19" s="14" t="s">
        <v>665</v>
      </c>
      <c r="F19" s="15" t="n">
        <f aca="false">LEN(E19)</f>
        <v>48</v>
      </c>
      <c r="G19" s="16" t="s">
        <v>666</v>
      </c>
      <c r="H19" s="15" t="n">
        <f aca="false">LEN(G19)</f>
        <v>144</v>
      </c>
      <c r="I19" s="13" t="s">
        <v>667</v>
      </c>
      <c r="J19" s="13" t="s">
        <v>668</v>
      </c>
      <c r="K19" s="13" t="s">
        <v>278</v>
      </c>
      <c r="L19" s="19" t="s">
        <v>299</v>
      </c>
      <c r="M19" s="12" t="s">
        <v>80</v>
      </c>
      <c r="N19" s="13" t="s">
        <v>593</v>
      </c>
      <c r="O19" s="13" t="s">
        <v>669</v>
      </c>
      <c r="P19" s="13" t="s">
        <v>670</v>
      </c>
      <c r="Q19" s="15" t="n">
        <f aca="false">LEN(O19)</f>
        <v>41</v>
      </c>
      <c r="R19" s="12" t="n">
        <f aca="false">LEN(P19)</f>
        <v>30</v>
      </c>
    </row>
    <row r="20" customFormat="false" ht="28.5" hidden="false" customHeight="true" outlineLevel="0" collapsed="false">
      <c r="A20" s="12" t="n">
        <v>16</v>
      </c>
      <c r="B20" s="13" t="s">
        <v>577</v>
      </c>
      <c r="C20" s="13" t="s">
        <v>671</v>
      </c>
      <c r="D20" s="13" t="s">
        <v>672</v>
      </c>
      <c r="E20" s="14" t="s">
        <v>673</v>
      </c>
      <c r="F20" s="15" t="n">
        <f aca="false">LEN(E20)</f>
        <v>56</v>
      </c>
      <c r="G20" s="16" t="s">
        <v>674</v>
      </c>
      <c r="H20" s="15" t="n">
        <f aca="false">LEN(G20)</f>
        <v>125</v>
      </c>
      <c r="I20" s="13" t="s">
        <v>675</v>
      </c>
      <c r="J20" s="13" t="s">
        <v>676</v>
      </c>
      <c r="K20" s="13" t="s">
        <v>278</v>
      </c>
      <c r="L20" s="19" t="s">
        <v>299</v>
      </c>
      <c r="M20" s="12" t="s">
        <v>80</v>
      </c>
      <c r="N20" s="13" t="s">
        <v>593</v>
      </c>
      <c r="O20" s="13" t="s">
        <v>677</v>
      </c>
      <c r="P20" s="13" t="s">
        <v>678</v>
      </c>
      <c r="Q20" s="15" t="n">
        <f aca="false">LEN(O20)</f>
        <v>49</v>
      </c>
      <c r="R20" s="12" t="n">
        <f aca="false">LEN(P20)</f>
        <v>37</v>
      </c>
    </row>
    <row r="21" customFormat="false" ht="41.25" hidden="false" customHeight="true" outlineLevel="0" collapsed="false">
      <c r="A21" s="12" t="n">
        <v>17</v>
      </c>
      <c r="B21" s="13" t="s">
        <v>577</v>
      </c>
      <c r="C21" s="13" t="s">
        <v>679</v>
      </c>
      <c r="D21" s="13" t="s">
        <v>680</v>
      </c>
      <c r="E21" s="14" t="s">
        <v>681</v>
      </c>
      <c r="F21" s="15" t="n">
        <f aca="false">LEN(E21)</f>
        <v>59</v>
      </c>
      <c r="G21" s="16" t="s">
        <v>682</v>
      </c>
      <c r="H21" s="15" t="n">
        <f aca="false">LEN(G21)</f>
        <v>136</v>
      </c>
      <c r="I21" s="13" t="s">
        <v>683</v>
      </c>
      <c r="J21" s="13" t="s">
        <v>684</v>
      </c>
      <c r="K21" s="13" t="s">
        <v>278</v>
      </c>
      <c r="L21" s="19" t="s">
        <v>299</v>
      </c>
      <c r="M21" s="12" t="s">
        <v>80</v>
      </c>
      <c r="N21" s="13" t="s">
        <v>593</v>
      </c>
      <c r="O21" s="13" t="s">
        <v>685</v>
      </c>
      <c r="P21" s="13" t="s">
        <v>686</v>
      </c>
      <c r="Q21" s="15" t="n">
        <f aca="false">LEN(O21)</f>
        <v>45</v>
      </c>
      <c r="R21" s="12" t="n">
        <f aca="false">LEN(P21)</f>
        <v>36</v>
      </c>
    </row>
    <row r="22" customFormat="false" ht="41.25" hidden="false" customHeight="true" outlineLevel="0" collapsed="false">
      <c r="A22" s="12" t="n">
        <v>18</v>
      </c>
      <c r="B22" s="13" t="s">
        <v>687</v>
      </c>
      <c r="C22" s="13" t="s">
        <v>587</v>
      </c>
      <c r="D22" s="13" t="s">
        <v>688</v>
      </c>
      <c r="E22" s="14" t="s">
        <v>689</v>
      </c>
      <c r="F22" s="15" t="n">
        <f aca="false">LEN(E22)</f>
        <v>54</v>
      </c>
      <c r="G22" s="16" t="s">
        <v>690</v>
      </c>
      <c r="H22" s="15" t="n">
        <f aca="false">LEN(G22)</f>
        <v>155</v>
      </c>
      <c r="I22" s="13" t="s">
        <v>691</v>
      </c>
      <c r="J22" s="13" t="s">
        <v>692</v>
      </c>
      <c r="K22" s="13" t="s">
        <v>257</v>
      </c>
      <c r="L22" s="17" t="s">
        <v>79</v>
      </c>
      <c r="M22" s="12" t="s">
        <v>80</v>
      </c>
      <c r="N22" s="13" t="s">
        <v>693</v>
      </c>
      <c r="O22" s="13" t="s">
        <v>694</v>
      </c>
      <c r="P22" s="13" t="s">
        <v>695</v>
      </c>
      <c r="Q22" s="15" t="n">
        <f aca="false">LEN(O22)</f>
        <v>68</v>
      </c>
      <c r="R22" s="12" t="n">
        <f aca="false">LEN(P22)</f>
        <v>78</v>
      </c>
    </row>
    <row r="23" customFormat="false" ht="41.25" hidden="false" customHeight="true" outlineLevel="0" collapsed="false">
      <c r="A23" s="12" t="n">
        <v>19</v>
      </c>
      <c r="B23" s="13" t="s">
        <v>687</v>
      </c>
      <c r="C23" s="13" t="s">
        <v>696</v>
      </c>
      <c r="D23" s="13" t="s">
        <v>697</v>
      </c>
      <c r="E23" s="14" t="s">
        <v>698</v>
      </c>
      <c r="F23" s="15" t="n">
        <f aca="false">LEN(E23)</f>
        <v>60</v>
      </c>
      <c r="G23" s="16" t="s">
        <v>699</v>
      </c>
      <c r="H23" s="15" t="n">
        <f aca="false">LEN(G23)</f>
        <v>136</v>
      </c>
      <c r="I23" s="13" t="s">
        <v>600</v>
      </c>
      <c r="J23" s="13" t="s">
        <v>700</v>
      </c>
      <c r="K23" s="13" t="s">
        <v>257</v>
      </c>
      <c r="L23" s="17" t="s">
        <v>79</v>
      </c>
      <c r="M23" s="12" t="s">
        <v>80</v>
      </c>
      <c r="N23" s="13" t="s">
        <v>693</v>
      </c>
      <c r="O23" s="13" t="s">
        <v>701</v>
      </c>
      <c r="P23" s="13" t="s">
        <v>702</v>
      </c>
      <c r="Q23" s="15" t="n">
        <f aca="false">LEN(O23)</f>
        <v>66</v>
      </c>
      <c r="R23" s="12" t="n">
        <f aca="false">LEN(P23)</f>
        <v>78</v>
      </c>
    </row>
    <row r="24" customFormat="false" ht="41.25" hidden="false" customHeight="true" outlineLevel="0" collapsed="false">
      <c r="A24" s="12" t="n">
        <v>20</v>
      </c>
      <c r="B24" s="13" t="s">
        <v>687</v>
      </c>
      <c r="C24" s="13" t="s">
        <v>703</v>
      </c>
      <c r="D24" s="13" t="s">
        <v>704</v>
      </c>
      <c r="E24" s="14" t="s">
        <v>705</v>
      </c>
      <c r="F24" s="15" t="n">
        <f aca="false">LEN(E24)</f>
        <v>59</v>
      </c>
      <c r="G24" s="16" t="s">
        <v>706</v>
      </c>
      <c r="H24" s="15" t="n">
        <f aca="false">LEN(G24)</f>
        <v>135</v>
      </c>
      <c r="I24" s="13" t="s">
        <v>707</v>
      </c>
      <c r="J24" s="13" t="s">
        <v>708</v>
      </c>
      <c r="K24" s="13" t="s">
        <v>257</v>
      </c>
      <c r="L24" s="18" t="s">
        <v>160</v>
      </c>
      <c r="M24" s="12" t="s">
        <v>80</v>
      </c>
      <c r="N24" s="13" t="s">
        <v>693</v>
      </c>
      <c r="O24" s="13" t="s">
        <v>709</v>
      </c>
      <c r="P24" s="13" t="s">
        <v>710</v>
      </c>
      <c r="Q24" s="15" t="n">
        <f aca="false">LEN(O24)</f>
        <v>67</v>
      </c>
      <c r="R24" s="12" t="n">
        <f aca="false">LEN(P24)</f>
        <v>74</v>
      </c>
    </row>
    <row r="25" customFormat="false" ht="28.5" hidden="false" customHeight="true" outlineLevel="0" collapsed="false">
      <c r="A25" s="12" t="n">
        <v>21</v>
      </c>
      <c r="B25" s="13" t="s">
        <v>687</v>
      </c>
      <c r="C25" s="13" t="s">
        <v>711</v>
      </c>
      <c r="D25" s="13" t="s">
        <v>712</v>
      </c>
      <c r="E25" s="14" t="s">
        <v>713</v>
      </c>
      <c r="F25" s="15" t="n">
        <f aca="false">LEN(E25)</f>
        <v>54</v>
      </c>
      <c r="G25" s="16" t="s">
        <v>714</v>
      </c>
      <c r="H25" s="15" t="n">
        <f aca="false">LEN(G25)</f>
        <v>129</v>
      </c>
      <c r="I25" s="13" t="s">
        <v>715</v>
      </c>
      <c r="J25" s="13" t="s">
        <v>716</v>
      </c>
      <c r="K25" s="13" t="s">
        <v>257</v>
      </c>
      <c r="L25" s="18" t="s">
        <v>160</v>
      </c>
      <c r="M25" s="12" t="s">
        <v>80</v>
      </c>
      <c r="N25" s="13" t="s">
        <v>693</v>
      </c>
      <c r="O25" s="13" t="s">
        <v>717</v>
      </c>
      <c r="P25" s="13" t="s">
        <v>718</v>
      </c>
      <c r="Q25" s="15" t="n">
        <f aca="false">LEN(O25)</f>
        <v>67</v>
      </c>
      <c r="R25" s="12" t="n">
        <f aca="false">LEN(P25)</f>
        <v>73</v>
      </c>
    </row>
    <row r="26" customFormat="false" ht="41.25" hidden="false" customHeight="true" outlineLevel="0" collapsed="false">
      <c r="A26" s="12" t="n">
        <v>22</v>
      </c>
      <c r="B26" s="13" t="s">
        <v>687</v>
      </c>
      <c r="C26" s="13" t="s">
        <v>719</v>
      </c>
      <c r="D26" s="13" t="s">
        <v>720</v>
      </c>
      <c r="E26" s="14" t="s">
        <v>721</v>
      </c>
      <c r="F26" s="15" t="n">
        <f aca="false">LEN(E26)</f>
        <v>54</v>
      </c>
      <c r="G26" s="16" t="s">
        <v>722</v>
      </c>
      <c r="H26" s="15" t="n">
        <f aca="false">LEN(G26)</f>
        <v>137</v>
      </c>
      <c r="I26" s="13" t="s">
        <v>633</v>
      </c>
      <c r="J26" s="13" t="s">
        <v>723</v>
      </c>
      <c r="K26" s="13" t="s">
        <v>257</v>
      </c>
      <c r="L26" s="18" t="s">
        <v>160</v>
      </c>
      <c r="M26" s="12" t="s">
        <v>80</v>
      </c>
      <c r="N26" s="13" t="s">
        <v>693</v>
      </c>
      <c r="O26" s="13" t="s">
        <v>724</v>
      </c>
      <c r="P26" s="13" t="s">
        <v>725</v>
      </c>
      <c r="Q26" s="15" t="n">
        <f aca="false">LEN(O26)</f>
        <v>73</v>
      </c>
      <c r="R26" s="12" t="n">
        <f aca="false">LEN(P26)</f>
        <v>71</v>
      </c>
    </row>
    <row r="27" customFormat="false" ht="41.25" hidden="false" customHeight="true" outlineLevel="0" collapsed="false">
      <c r="A27" s="12" t="n">
        <v>23</v>
      </c>
      <c r="B27" s="13" t="s">
        <v>687</v>
      </c>
      <c r="C27" s="13" t="s">
        <v>726</v>
      </c>
      <c r="D27" s="13" t="s">
        <v>727</v>
      </c>
      <c r="E27" s="14" t="s">
        <v>728</v>
      </c>
      <c r="F27" s="15" t="n">
        <f aca="false">LEN(E27)</f>
        <v>57</v>
      </c>
      <c r="G27" s="16" t="s">
        <v>729</v>
      </c>
      <c r="H27" s="15" t="n">
        <f aca="false">LEN(G27)</f>
        <v>131</v>
      </c>
      <c r="I27" s="13" t="s">
        <v>730</v>
      </c>
      <c r="J27" s="13" t="s">
        <v>731</v>
      </c>
      <c r="K27" s="13" t="s">
        <v>257</v>
      </c>
      <c r="L27" s="18" t="s">
        <v>160</v>
      </c>
      <c r="M27" s="12" t="s">
        <v>80</v>
      </c>
      <c r="N27" s="13" t="s">
        <v>693</v>
      </c>
      <c r="O27" s="13" t="s">
        <v>732</v>
      </c>
      <c r="P27" s="13" t="s">
        <v>733</v>
      </c>
      <c r="Q27" s="15" t="n">
        <f aca="false">LEN(O27)</f>
        <v>69</v>
      </c>
      <c r="R27" s="12" t="n">
        <f aca="false">LEN(P27)</f>
        <v>68</v>
      </c>
    </row>
    <row r="28" customFormat="false" ht="41.25" hidden="false" customHeight="true" outlineLevel="0" collapsed="false">
      <c r="A28" s="12" t="n">
        <v>24</v>
      </c>
      <c r="B28" s="13" t="s">
        <v>687</v>
      </c>
      <c r="C28" s="13" t="s">
        <v>734</v>
      </c>
      <c r="D28" s="13" t="s">
        <v>735</v>
      </c>
      <c r="E28" s="14" t="s">
        <v>736</v>
      </c>
      <c r="F28" s="15" t="n">
        <f aca="false">LEN(E28)</f>
        <v>59</v>
      </c>
      <c r="G28" s="16" t="s">
        <v>737</v>
      </c>
      <c r="H28" s="15" t="n">
        <f aca="false">LEN(G28)</f>
        <v>135</v>
      </c>
      <c r="I28" s="13" t="s">
        <v>667</v>
      </c>
      <c r="J28" s="13" t="s">
        <v>738</v>
      </c>
      <c r="K28" s="13" t="s">
        <v>257</v>
      </c>
      <c r="L28" s="18" t="s">
        <v>160</v>
      </c>
      <c r="M28" s="12" t="s">
        <v>80</v>
      </c>
      <c r="N28" s="13" t="s">
        <v>693</v>
      </c>
      <c r="O28" s="13" t="s">
        <v>739</v>
      </c>
      <c r="P28" s="13" t="s">
        <v>740</v>
      </c>
      <c r="Q28" s="15" t="n">
        <f aca="false">LEN(O28)</f>
        <v>79</v>
      </c>
      <c r="R28" s="12" t="n">
        <f aca="false">LEN(P28)</f>
        <v>75</v>
      </c>
    </row>
    <row r="29" customFormat="false" ht="41.25" hidden="false" customHeight="true" outlineLevel="0" collapsed="false">
      <c r="A29" s="12" t="n">
        <v>25</v>
      </c>
      <c r="B29" s="13" t="s">
        <v>687</v>
      </c>
      <c r="C29" s="13" t="s">
        <v>741</v>
      </c>
      <c r="D29" s="13" t="s">
        <v>742</v>
      </c>
      <c r="E29" s="14" t="s">
        <v>743</v>
      </c>
      <c r="F29" s="15" t="n">
        <f aca="false">LEN(E29)</f>
        <v>53</v>
      </c>
      <c r="G29" s="16" t="s">
        <v>744</v>
      </c>
      <c r="H29" s="15" t="n">
        <f aca="false">LEN(G29)</f>
        <v>145</v>
      </c>
      <c r="I29" s="13" t="s">
        <v>745</v>
      </c>
      <c r="J29" s="13" t="s">
        <v>746</v>
      </c>
      <c r="K29" s="13" t="s">
        <v>257</v>
      </c>
      <c r="L29" s="18" t="s">
        <v>160</v>
      </c>
      <c r="M29" s="12" t="s">
        <v>80</v>
      </c>
      <c r="N29" s="13" t="s">
        <v>693</v>
      </c>
      <c r="O29" s="13" t="s">
        <v>747</v>
      </c>
      <c r="P29" s="13" t="s">
        <v>748</v>
      </c>
      <c r="Q29" s="15" t="n">
        <f aca="false">LEN(O29)</f>
        <v>53</v>
      </c>
      <c r="R29" s="12" t="n">
        <f aca="false">LEN(P29)</f>
        <v>70</v>
      </c>
    </row>
    <row r="30" customFormat="false" ht="41.25" hidden="false" customHeight="true" outlineLevel="0" collapsed="false">
      <c r="A30" s="12" t="n">
        <v>26</v>
      </c>
      <c r="B30" s="13" t="s">
        <v>687</v>
      </c>
      <c r="C30" s="13" t="s">
        <v>749</v>
      </c>
      <c r="D30" s="13" t="s">
        <v>750</v>
      </c>
      <c r="E30" s="14" t="s">
        <v>751</v>
      </c>
      <c r="F30" s="15" t="n">
        <f aca="false">LEN(E30)</f>
        <v>60</v>
      </c>
      <c r="G30" s="16" t="s">
        <v>752</v>
      </c>
      <c r="H30" s="15" t="n">
        <f aca="false">LEN(G30)</f>
        <v>132</v>
      </c>
      <c r="I30" s="13" t="s">
        <v>753</v>
      </c>
      <c r="J30" s="13" t="s">
        <v>754</v>
      </c>
      <c r="K30" s="13" t="s">
        <v>257</v>
      </c>
      <c r="L30" s="18" t="s">
        <v>160</v>
      </c>
      <c r="M30" s="12" t="s">
        <v>80</v>
      </c>
      <c r="N30" s="13" t="s">
        <v>693</v>
      </c>
      <c r="O30" s="13" t="s">
        <v>755</v>
      </c>
      <c r="P30" s="13" t="s">
        <v>756</v>
      </c>
      <c r="Q30" s="15" t="n">
        <f aca="false">LEN(O30)</f>
        <v>67</v>
      </c>
      <c r="R30" s="12" t="n">
        <f aca="false">LEN(P30)</f>
        <v>73</v>
      </c>
    </row>
    <row r="31" customFormat="false" ht="41.25" hidden="false" customHeight="true" outlineLevel="0" collapsed="false">
      <c r="A31" s="12" t="n">
        <v>27</v>
      </c>
      <c r="B31" s="13" t="s">
        <v>687</v>
      </c>
      <c r="C31" s="13" t="s">
        <v>757</v>
      </c>
      <c r="D31" s="13" t="s">
        <v>758</v>
      </c>
      <c r="E31" s="14" t="s">
        <v>759</v>
      </c>
      <c r="F31" s="15" t="n">
        <f aca="false">LEN(E31)</f>
        <v>57</v>
      </c>
      <c r="G31" s="16" t="s">
        <v>760</v>
      </c>
      <c r="H31" s="15" t="n">
        <f aca="false">LEN(G31)</f>
        <v>144</v>
      </c>
      <c r="I31" s="13" t="s">
        <v>683</v>
      </c>
      <c r="J31" s="13" t="s">
        <v>761</v>
      </c>
      <c r="K31" s="13" t="s">
        <v>257</v>
      </c>
      <c r="L31" s="18" t="s">
        <v>160</v>
      </c>
      <c r="M31" s="12" t="s">
        <v>80</v>
      </c>
      <c r="N31" s="13" t="s">
        <v>693</v>
      </c>
      <c r="O31" s="13" t="s">
        <v>762</v>
      </c>
      <c r="P31" s="13" t="s">
        <v>763</v>
      </c>
      <c r="Q31" s="15" t="n">
        <f aca="false">LEN(O31)</f>
        <v>70</v>
      </c>
      <c r="R31" s="12" t="n">
        <f aca="false">LEN(P31)</f>
        <v>75</v>
      </c>
    </row>
    <row r="32" customFormat="false" ht="41.25" hidden="false" customHeight="true" outlineLevel="0" collapsed="false">
      <c r="A32" s="12" t="n">
        <v>28</v>
      </c>
      <c r="B32" s="13" t="s">
        <v>687</v>
      </c>
      <c r="C32" s="13" t="s">
        <v>764</v>
      </c>
      <c r="D32" s="13" t="s">
        <v>765</v>
      </c>
      <c r="E32" s="14" t="s">
        <v>766</v>
      </c>
      <c r="F32" s="15" t="n">
        <f aca="false">LEN(E32)</f>
        <v>58</v>
      </c>
      <c r="G32" s="16" t="s">
        <v>767</v>
      </c>
      <c r="H32" s="15" t="n">
        <f aca="false">LEN(G32)</f>
        <v>142</v>
      </c>
      <c r="I32" s="13" t="s">
        <v>641</v>
      </c>
      <c r="J32" s="13" t="s">
        <v>768</v>
      </c>
      <c r="K32" s="13" t="s">
        <v>257</v>
      </c>
      <c r="L32" s="18" t="s">
        <v>160</v>
      </c>
      <c r="M32" s="12" t="s">
        <v>80</v>
      </c>
      <c r="N32" s="13" t="s">
        <v>693</v>
      </c>
      <c r="O32" s="13" t="s">
        <v>769</v>
      </c>
      <c r="P32" s="13" t="s">
        <v>770</v>
      </c>
      <c r="Q32" s="15" t="n">
        <f aca="false">LEN(O32)</f>
        <v>68</v>
      </c>
      <c r="R32" s="12" t="n">
        <f aca="false">LEN(P32)</f>
        <v>76</v>
      </c>
    </row>
    <row r="33" customFormat="false" ht="41.25" hidden="false" customHeight="true" outlineLevel="0" collapsed="false">
      <c r="A33" s="12" t="n">
        <v>29</v>
      </c>
      <c r="B33" s="13" t="s">
        <v>687</v>
      </c>
      <c r="C33" s="13" t="s">
        <v>771</v>
      </c>
      <c r="D33" s="13" t="s">
        <v>772</v>
      </c>
      <c r="E33" s="14" t="s">
        <v>773</v>
      </c>
      <c r="F33" s="15" t="n">
        <f aca="false">LEN(E33)</f>
        <v>58</v>
      </c>
      <c r="G33" s="16" t="s">
        <v>774</v>
      </c>
      <c r="H33" s="15" t="n">
        <f aca="false">LEN(G33)</f>
        <v>131</v>
      </c>
      <c r="I33" s="13" t="s">
        <v>775</v>
      </c>
      <c r="J33" s="13" t="s">
        <v>776</v>
      </c>
      <c r="K33" s="13" t="s">
        <v>257</v>
      </c>
      <c r="L33" s="18" t="s">
        <v>160</v>
      </c>
      <c r="M33" s="12" t="s">
        <v>80</v>
      </c>
      <c r="N33" s="13" t="s">
        <v>693</v>
      </c>
      <c r="O33" s="13" t="s">
        <v>777</v>
      </c>
      <c r="P33" s="13" t="s">
        <v>778</v>
      </c>
      <c r="Q33" s="15" t="n">
        <f aca="false">LEN(O33)</f>
        <v>65</v>
      </c>
      <c r="R33" s="12" t="n">
        <f aca="false">LEN(P33)</f>
        <v>78</v>
      </c>
    </row>
    <row r="34" customFormat="false" ht="41.25" hidden="false" customHeight="true" outlineLevel="0" collapsed="false">
      <c r="A34" s="12" t="n">
        <v>30</v>
      </c>
      <c r="B34" s="13" t="s">
        <v>779</v>
      </c>
      <c r="C34" s="13" t="s">
        <v>780</v>
      </c>
      <c r="D34" s="13" t="s">
        <v>781</v>
      </c>
      <c r="E34" s="14" t="s">
        <v>782</v>
      </c>
      <c r="F34" s="15" t="n">
        <f aca="false">LEN(E34)</f>
        <v>59</v>
      </c>
      <c r="G34" s="16" t="s">
        <v>783</v>
      </c>
      <c r="H34" s="15" t="n">
        <f aca="false">LEN(G34)</f>
        <v>156</v>
      </c>
      <c r="I34" s="13" t="s">
        <v>784</v>
      </c>
      <c r="J34" s="13" t="s">
        <v>785</v>
      </c>
      <c r="K34" s="13" t="s">
        <v>257</v>
      </c>
      <c r="L34" s="19" t="s">
        <v>299</v>
      </c>
      <c r="M34" s="12" t="s">
        <v>80</v>
      </c>
      <c r="N34" s="13" t="s">
        <v>786</v>
      </c>
      <c r="O34" s="13" t="s">
        <v>787</v>
      </c>
      <c r="P34" s="13" t="s">
        <v>788</v>
      </c>
      <c r="Q34" s="15" t="n">
        <f aca="false">LEN(O34)</f>
        <v>93</v>
      </c>
      <c r="R34" s="12" t="n">
        <f aca="false">LEN(P34)</f>
        <v>155</v>
      </c>
    </row>
    <row r="35" customFormat="false" ht="41.25" hidden="false" customHeight="true" outlineLevel="0" collapsed="false">
      <c r="A35" s="12" t="n">
        <v>31</v>
      </c>
      <c r="B35" s="13" t="s">
        <v>779</v>
      </c>
      <c r="C35" s="13" t="s">
        <v>789</v>
      </c>
      <c r="D35" s="13" t="s">
        <v>790</v>
      </c>
      <c r="E35" s="14" t="s">
        <v>791</v>
      </c>
      <c r="F35" s="15" t="n">
        <f aca="false">LEN(E35)</f>
        <v>60</v>
      </c>
      <c r="G35" s="16" t="s">
        <v>792</v>
      </c>
      <c r="H35" s="15" t="n">
        <f aca="false">LEN(G35)</f>
        <v>139</v>
      </c>
      <c r="I35" s="13" t="s">
        <v>793</v>
      </c>
      <c r="J35" s="13" t="s">
        <v>794</v>
      </c>
      <c r="K35" s="13" t="s">
        <v>257</v>
      </c>
      <c r="L35" s="19" t="s">
        <v>299</v>
      </c>
      <c r="M35" s="12" t="s">
        <v>80</v>
      </c>
      <c r="N35" s="13" t="s">
        <v>795</v>
      </c>
      <c r="O35" s="13" t="s">
        <v>796</v>
      </c>
      <c r="P35" s="13" t="s">
        <v>797</v>
      </c>
      <c r="Q35" s="15" t="n">
        <f aca="false">LEN(O35)</f>
        <v>86</v>
      </c>
      <c r="R35" s="12" t="n">
        <f aca="false">LEN(P35)</f>
        <v>156</v>
      </c>
    </row>
    <row r="36" customFormat="false" ht="41.25" hidden="false" customHeight="true" outlineLevel="0" collapsed="false">
      <c r="A36" s="12" t="n">
        <v>32</v>
      </c>
      <c r="B36" s="13" t="s">
        <v>779</v>
      </c>
      <c r="C36" s="13" t="s">
        <v>798</v>
      </c>
      <c r="D36" s="13" t="s">
        <v>799</v>
      </c>
      <c r="E36" s="14" t="s">
        <v>800</v>
      </c>
      <c r="F36" s="15" t="n">
        <f aca="false">LEN(E36)</f>
        <v>58</v>
      </c>
      <c r="G36" s="16" t="s">
        <v>801</v>
      </c>
      <c r="H36" s="15" t="n">
        <f aca="false">LEN(G36)</f>
        <v>142</v>
      </c>
      <c r="I36" s="13" t="s">
        <v>802</v>
      </c>
      <c r="J36" s="13" t="s">
        <v>803</v>
      </c>
      <c r="K36" s="13" t="s">
        <v>257</v>
      </c>
      <c r="L36" s="19" t="s">
        <v>299</v>
      </c>
      <c r="M36" s="12" t="s">
        <v>80</v>
      </c>
      <c r="N36" s="13" t="s">
        <v>786</v>
      </c>
      <c r="O36" s="13" t="s">
        <v>804</v>
      </c>
      <c r="P36" s="13" t="s">
        <v>805</v>
      </c>
      <c r="Q36" s="15" t="n">
        <f aca="false">LEN(O36)</f>
        <v>92</v>
      </c>
      <c r="R36" s="12" t="n">
        <f aca="false">LEN(P36)</f>
        <v>113</v>
      </c>
    </row>
    <row r="37" customFormat="false" ht="41.25" hidden="false" customHeight="true" outlineLevel="0" collapsed="false">
      <c r="A37" s="12" t="n">
        <v>33</v>
      </c>
      <c r="B37" s="13" t="s">
        <v>779</v>
      </c>
      <c r="C37" s="13" t="s">
        <v>806</v>
      </c>
      <c r="D37" s="13" t="s">
        <v>807</v>
      </c>
      <c r="E37" s="14" t="s">
        <v>808</v>
      </c>
      <c r="F37" s="15" t="n">
        <f aca="false">LEN(E37)</f>
        <v>59</v>
      </c>
      <c r="G37" s="16" t="s">
        <v>809</v>
      </c>
      <c r="H37" s="15" t="n">
        <f aca="false">LEN(G37)</f>
        <v>156</v>
      </c>
      <c r="I37" s="13" t="s">
        <v>810</v>
      </c>
      <c r="J37" s="13" t="s">
        <v>811</v>
      </c>
      <c r="K37" s="13" t="s">
        <v>257</v>
      </c>
      <c r="L37" s="19" t="s">
        <v>299</v>
      </c>
      <c r="M37" s="12" t="s">
        <v>80</v>
      </c>
      <c r="N37" s="13" t="s">
        <v>786</v>
      </c>
      <c r="O37" s="13" t="s">
        <v>812</v>
      </c>
      <c r="P37" s="13" t="s">
        <v>813</v>
      </c>
      <c r="Q37" s="15" t="n">
        <f aca="false">LEN(O37)</f>
        <v>90</v>
      </c>
      <c r="R37" s="12" t="n">
        <f aca="false">LEN(P37)</f>
        <v>151</v>
      </c>
    </row>
    <row r="38" customFormat="false" ht="41.25" hidden="false" customHeight="true" outlineLevel="0" collapsed="false">
      <c r="A38" s="12" t="n">
        <v>34</v>
      </c>
      <c r="B38" s="13" t="s">
        <v>779</v>
      </c>
      <c r="C38" s="13" t="s">
        <v>814</v>
      </c>
      <c r="D38" s="13" t="s">
        <v>815</v>
      </c>
      <c r="E38" s="14" t="s">
        <v>816</v>
      </c>
      <c r="F38" s="15" t="n">
        <f aca="false">LEN(E38)</f>
        <v>59</v>
      </c>
      <c r="G38" s="16" t="s">
        <v>817</v>
      </c>
      <c r="H38" s="15" t="n">
        <f aca="false">LEN(G38)</f>
        <v>134</v>
      </c>
      <c r="I38" s="13" t="s">
        <v>818</v>
      </c>
      <c r="J38" s="13" t="s">
        <v>819</v>
      </c>
      <c r="K38" s="13" t="s">
        <v>257</v>
      </c>
      <c r="L38" s="19" t="s">
        <v>299</v>
      </c>
      <c r="M38" s="12" t="s">
        <v>80</v>
      </c>
      <c r="N38" s="13" t="s">
        <v>786</v>
      </c>
      <c r="O38" s="13" t="s">
        <v>820</v>
      </c>
      <c r="P38" s="13" t="s">
        <v>821</v>
      </c>
      <c r="Q38" s="15" t="n">
        <f aca="false">LEN(O38)</f>
        <v>94</v>
      </c>
      <c r="R38" s="12" t="n">
        <f aca="false">LEN(P38)</f>
        <v>127</v>
      </c>
    </row>
    <row r="39" customFormat="false" ht="41.25" hidden="false" customHeight="true" outlineLevel="0" collapsed="false">
      <c r="A39" s="12" t="n">
        <v>35</v>
      </c>
      <c r="B39" s="13" t="s">
        <v>779</v>
      </c>
      <c r="C39" s="13" t="s">
        <v>822</v>
      </c>
      <c r="D39" s="13" t="s">
        <v>823</v>
      </c>
      <c r="E39" s="14" t="s">
        <v>824</v>
      </c>
      <c r="F39" s="15" t="n">
        <f aca="false">LEN(E39)</f>
        <v>56</v>
      </c>
      <c r="G39" s="16" t="s">
        <v>825</v>
      </c>
      <c r="H39" s="15" t="n">
        <f aca="false">LEN(G39)</f>
        <v>141</v>
      </c>
      <c r="I39" s="13" t="s">
        <v>427</v>
      </c>
      <c r="J39" s="13" t="s">
        <v>826</v>
      </c>
      <c r="K39" s="13" t="s">
        <v>257</v>
      </c>
      <c r="L39" s="19" t="s">
        <v>299</v>
      </c>
      <c r="M39" s="12" t="s">
        <v>80</v>
      </c>
      <c r="N39" s="13" t="s">
        <v>827</v>
      </c>
      <c r="O39" s="13" t="s">
        <v>828</v>
      </c>
      <c r="P39" s="13" t="s">
        <v>829</v>
      </c>
      <c r="Q39" s="15" t="n">
        <f aca="false">LEN(O39)</f>
        <v>85</v>
      </c>
      <c r="R39" s="12" t="n">
        <f aca="false">LEN(P39)</f>
        <v>100</v>
      </c>
    </row>
    <row r="40" customFormat="false" ht="41.25" hidden="false" customHeight="true" outlineLevel="0" collapsed="false">
      <c r="A40" s="12" t="n">
        <v>36</v>
      </c>
      <c r="B40" s="13" t="s">
        <v>779</v>
      </c>
      <c r="C40" s="13" t="s">
        <v>830</v>
      </c>
      <c r="D40" s="13" t="s">
        <v>831</v>
      </c>
      <c r="E40" s="14" t="s">
        <v>832</v>
      </c>
      <c r="F40" s="15" t="n">
        <f aca="false">LEN(E40)</f>
        <v>58</v>
      </c>
      <c r="G40" s="16" t="s">
        <v>833</v>
      </c>
      <c r="H40" s="15" t="n">
        <f aca="false">LEN(G40)</f>
        <v>146</v>
      </c>
      <c r="I40" s="13" t="s">
        <v>834</v>
      </c>
      <c r="J40" s="13" t="s">
        <v>835</v>
      </c>
      <c r="K40" s="13" t="s">
        <v>257</v>
      </c>
      <c r="L40" s="19" t="s">
        <v>299</v>
      </c>
      <c r="M40" s="12" t="s">
        <v>80</v>
      </c>
      <c r="N40" s="13" t="s">
        <v>836</v>
      </c>
      <c r="O40" s="13" t="s">
        <v>837</v>
      </c>
      <c r="P40" s="13" t="s">
        <v>838</v>
      </c>
      <c r="Q40" s="15" t="n">
        <f aca="false">LEN(O40)</f>
        <v>91</v>
      </c>
      <c r="R40" s="12" t="n">
        <f aca="false">LEN(P40)</f>
        <v>83</v>
      </c>
    </row>
    <row r="41" customFormat="false" ht="41.25" hidden="false" customHeight="true" outlineLevel="0" collapsed="false">
      <c r="A41" s="12" t="n">
        <v>37</v>
      </c>
      <c r="B41" s="13" t="s">
        <v>779</v>
      </c>
      <c r="C41" s="13" t="s">
        <v>839</v>
      </c>
      <c r="D41" s="13" t="s">
        <v>840</v>
      </c>
      <c r="E41" s="14" t="s">
        <v>841</v>
      </c>
      <c r="F41" s="15" t="n">
        <f aca="false">LEN(E41)</f>
        <v>50</v>
      </c>
      <c r="G41" s="16" t="s">
        <v>842</v>
      </c>
      <c r="H41" s="15" t="n">
        <f aca="false">LEN(G41)</f>
        <v>160</v>
      </c>
      <c r="I41" s="13" t="s">
        <v>363</v>
      </c>
      <c r="J41" s="13" t="s">
        <v>843</v>
      </c>
      <c r="K41" s="13" t="s">
        <v>257</v>
      </c>
      <c r="L41" s="19" t="s">
        <v>299</v>
      </c>
      <c r="M41" s="12" t="s">
        <v>80</v>
      </c>
      <c r="N41" s="13" t="s">
        <v>786</v>
      </c>
      <c r="O41" s="13" t="s">
        <v>844</v>
      </c>
      <c r="P41" s="13" t="s">
        <v>845</v>
      </c>
      <c r="Q41" s="15" t="n">
        <f aca="false">LEN(O41)</f>
        <v>86</v>
      </c>
      <c r="R41" s="12" t="n">
        <f aca="false">LEN(P41)</f>
        <v>126</v>
      </c>
    </row>
    <row r="42" customFormat="false" ht="41.25" hidden="false" customHeight="true" outlineLevel="0" collapsed="false">
      <c r="A42" s="12" t="n">
        <v>38</v>
      </c>
      <c r="B42" s="13" t="s">
        <v>779</v>
      </c>
      <c r="C42" s="13" t="s">
        <v>846</v>
      </c>
      <c r="D42" s="13" t="s">
        <v>847</v>
      </c>
      <c r="E42" s="14" t="s">
        <v>848</v>
      </c>
      <c r="F42" s="15" t="n">
        <f aca="false">LEN(E42)</f>
        <v>53</v>
      </c>
      <c r="G42" s="16" t="s">
        <v>849</v>
      </c>
      <c r="H42" s="15" t="n">
        <f aca="false">LEN(G42)</f>
        <v>146</v>
      </c>
      <c r="I42" s="13" t="s">
        <v>850</v>
      </c>
      <c r="J42" s="13" t="s">
        <v>851</v>
      </c>
      <c r="K42" s="13" t="s">
        <v>257</v>
      </c>
      <c r="L42" s="19" t="s">
        <v>299</v>
      </c>
      <c r="M42" s="12" t="s">
        <v>80</v>
      </c>
      <c r="N42" s="13" t="s">
        <v>786</v>
      </c>
      <c r="O42" s="13" t="s">
        <v>852</v>
      </c>
      <c r="P42" s="13" t="s">
        <v>853</v>
      </c>
      <c r="Q42" s="15" t="n">
        <f aca="false">LEN(O42)</f>
        <v>89</v>
      </c>
      <c r="R42" s="12" t="n">
        <f aca="false">LEN(P42)</f>
        <v>108</v>
      </c>
    </row>
    <row r="43" customFormat="false" ht="41.25" hidden="false" customHeight="true" outlineLevel="0" collapsed="false">
      <c r="A43" s="12" t="n">
        <v>39</v>
      </c>
      <c r="B43" s="13" t="s">
        <v>779</v>
      </c>
      <c r="C43" s="13" t="s">
        <v>854</v>
      </c>
      <c r="D43" s="13" t="s">
        <v>855</v>
      </c>
      <c r="E43" s="14" t="s">
        <v>856</v>
      </c>
      <c r="F43" s="15" t="n">
        <f aca="false">LEN(E43)</f>
        <v>59</v>
      </c>
      <c r="G43" s="16" t="s">
        <v>857</v>
      </c>
      <c r="H43" s="15" t="n">
        <f aca="false">LEN(G43)</f>
        <v>158</v>
      </c>
      <c r="I43" s="13" t="s">
        <v>858</v>
      </c>
      <c r="J43" s="13" t="s">
        <v>859</v>
      </c>
      <c r="K43" s="13" t="s">
        <v>257</v>
      </c>
      <c r="L43" s="19" t="s">
        <v>299</v>
      </c>
      <c r="M43" s="12" t="s">
        <v>80</v>
      </c>
      <c r="N43" s="13" t="s">
        <v>860</v>
      </c>
      <c r="O43" s="13" t="s">
        <v>861</v>
      </c>
      <c r="P43" s="13" t="s">
        <v>862</v>
      </c>
      <c r="Q43" s="15" t="n">
        <f aca="false">LEN(O43)</f>
        <v>93</v>
      </c>
      <c r="R43" s="12" t="n">
        <f aca="false">LEN(P43)</f>
        <v>99</v>
      </c>
    </row>
    <row r="44" customFormat="false" ht="41.25" hidden="false" customHeight="true" outlineLevel="0" collapsed="false">
      <c r="A44" s="12" t="n">
        <v>40</v>
      </c>
      <c r="B44" s="13" t="s">
        <v>779</v>
      </c>
      <c r="C44" s="13" t="s">
        <v>863</v>
      </c>
      <c r="D44" s="13" t="s">
        <v>864</v>
      </c>
      <c r="E44" s="14" t="s">
        <v>865</v>
      </c>
      <c r="F44" s="15" t="n">
        <f aca="false">LEN(E44)</f>
        <v>55</v>
      </c>
      <c r="G44" s="16" t="s">
        <v>866</v>
      </c>
      <c r="H44" s="15" t="n">
        <f aca="false">LEN(G44)</f>
        <v>128</v>
      </c>
      <c r="I44" s="13" t="s">
        <v>867</v>
      </c>
      <c r="J44" s="13" t="s">
        <v>868</v>
      </c>
      <c r="K44" s="13" t="s">
        <v>257</v>
      </c>
      <c r="L44" s="19" t="s">
        <v>299</v>
      </c>
      <c r="M44" s="12" t="s">
        <v>80</v>
      </c>
      <c r="N44" s="13" t="s">
        <v>786</v>
      </c>
      <c r="O44" s="13" t="s">
        <v>869</v>
      </c>
      <c r="P44" s="13" t="s">
        <v>870</v>
      </c>
      <c r="Q44" s="15" t="n">
        <f aca="false">LEN(O44)</f>
        <v>84</v>
      </c>
      <c r="R44" s="12" t="n">
        <f aca="false">LEN(P44)</f>
        <v>113</v>
      </c>
    </row>
    <row r="45" customFormat="false" ht="41.25" hidden="false" customHeight="true" outlineLevel="0" collapsed="false">
      <c r="A45" s="12" t="n">
        <v>41</v>
      </c>
      <c r="B45" s="13" t="s">
        <v>779</v>
      </c>
      <c r="C45" s="13" t="s">
        <v>871</v>
      </c>
      <c r="D45" s="13" t="s">
        <v>872</v>
      </c>
      <c r="E45" s="14" t="s">
        <v>873</v>
      </c>
      <c r="F45" s="15" t="n">
        <f aca="false">LEN(E45)</f>
        <v>59</v>
      </c>
      <c r="G45" s="16" t="s">
        <v>874</v>
      </c>
      <c r="H45" s="15" t="n">
        <f aca="false">LEN(G45)</f>
        <v>149</v>
      </c>
      <c r="I45" s="13" t="s">
        <v>875</v>
      </c>
      <c r="J45" s="13" t="s">
        <v>876</v>
      </c>
      <c r="K45" s="13" t="s">
        <v>257</v>
      </c>
      <c r="L45" s="19" t="s">
        <v>299</v>
      </c>
      <c r="M45" s="12" t="s">
        <v>80</v>
      </c>
      <c r="N45" s="13" t="s">
        <v>786</v>
      </c>
      <c r="O45" s="13" t="s">
        <v>877</v>
      </c>
      <c r="P45" s="13" t="s">
        <v>878</v>
      </c>
      <c r="Q45" s="15" t="n">
        <f aca="false">LEN(O45)</f>
        <v>99</v>
      </c>
      <c r="R45" s="12" t="n">
        <f aca="false">LEN(P45)</f>
        <v>98</v>
      </c>
    </row>
    <row r="46" customFormat="false" ht="41.25" hidden="false" customHeight="true" outlineLevel="0" collapsed="false">
      <c r="A46" s="12" t="n">
        <v>42</v>
      </c>
      <c r="B46" s="13" t="s">
        <v>779</v>
      </c>
      <c r="C46" s="13" t="s">
        <v>879</v>
      </c>
      <c r="D46" s="13" t="s">
        <v>880</v>
      </c>
      <c r="E46" s="14" t="s">
        <v>881</v>
      </c>
      <c r="F46" s="15" t="n">
        <f aca="false">LEN(E46)</f>
        <v>58</v>
      </c>
      <c r="G46" s="16" t="s">
        <v>882</v>
      </c>
      <c r="H46" s="15" t="n">
        <f aca="false">LEN(G46)</f>
        <v>158</v>
      </c>
      <c r="I46" s="13" t="s">
        <v>883</v>
      </c>
      <c r="J46" s="13" t="s">
        <v>884</v>
      </c>
      <c r="K46" s="13" t="s">
        <v>257</v>
      </c>
      <c r="L46" s="19" t="s">
        <v>299</v>
      </c>
      <c r="M46" s="12" t="s">
        <v>80</v>
      </c>
      <c r="N46" s="13" t="s">
        <v>786</v>
      </c>
      <c r="O46" s="13" t="s">
        <v>885</v>
      </c>
      <c r="P46" s="13" t="s">
        <v>886</v>
      </c>
      <c r="Q46" s="15" t="n">
        <f aca="false">LEN(O46)</f>
        <v>96</v>
      </c>
      <c r="R46" s="12" t="n">
        <f aca="false">LEN(P46)</f>
        <v>122</v>
      </c>
    </row>
    <row r="47" customFormat="false" ht="41.25" hidden="false" customHeight="true" outlineLevel="0" collapsed="false">
      <c r="A47" s="12" t="n">
        <v>43</v>
      </c>
      <c r="B47" s="13" t="s">
        <v>779</v>
      </c>
      <c r="C47" s="13" t="s">
        <v>887</v>
      </c>
      <c r="D47" s="13" t="s">
        <v>888</v>
      </c>
      <c r="E47" s="14" t="s">
        <v>889</v>
      </c>
      <c r="F47" s="15" t="n">
        <f aca="false">LEN(E47)</f>
        <v>52</v>
      </c>
      <c r="G47" s="16" t="s">
        <v>890</v>
      </c>
      <c r="H47" s="15" t="n">
        <f aca="false">LEN(G47)</f>
        <v>157</v>
      </c>
      <c r="I47" s="13" t="s">
        <v>891</v>
      </c>
      <c r="J47" s="13" t="s">
        <v>892</v>
      </c>
      <c r="K47" s="13" t="s">
        <v>257</v>
      </c>
      <c r="L47" s="19" t="s">
        <v>299</v>
      </c>
      <c r="M47" s="12" t="s">
        <v>80</v>
      </c>
      <c r="N47" s="13" t="s">
        <v>786</v>
      </c>
      <c r="O47" s="13" t="s">
        <v>893</v>
      </c>
      <c r="P47" s="13" t="s">
        <v>894</v>
      </c>
      <c r="Q47" s="15" t="n">
        <f aca="false">LEN(O47)</f>
        <v>86</v>
      </c>
      <c r="R47" s="12" t="n">
        <f aca="false">LEN(P47)</f>
        <v>115</v>
      </c>
    </row>
    <row r="48" customFormat="false" ht="41.25" hidden="false" customHeight="true" outlineLevel="0" collapsed="false">
      <c r="A48" s="12" t="n">
        <v>44</v>
      </c>
      <c r="B48" s="13" t="s">
        <v>779</v>
      </c>
      <c r="C48" s="13" t="s">
        <v>895</v>
      </c>
      <c r="D48" s="13" t="s">
        <v>896</v>
      </c>
      <c r="E48" s="14" t="s">
        <v>897</v>
      </c>
      <c r="F48" s="15" t="n">
        <f aca="false">LEN(E48)</f>
        <v>55</v>
      </c>
      <c r="G48" s="16" t="s">
        <v>898</v>
      </c>
      <c r="H48" s="15" t="n">
        <f aca="false">LEN(G48)</f>
        <v>143</v>
      </c>
      <c r="I48" s="13" t="s">
        <v>899</v>
      </c>
      <c r="J48" s="13" t="s">
        <v>900</v>
      </c>
      <c r="K48" s="13" t="s">
        <v>257</v>
      </c>
      <c r="L48" s="19" t="s">
        <v>299</v>
      </c>
      <c r="M48" s="12" t="s">
        <v>80</v>
      </c>
      <c r="N48" s="13" t="s">
        <v>786</v>
      </c>
      <c r="O48" s="13" t="s">
        <v>901</v>
      </c>
      <c r="P48" s="13" t="s">
        <v>902</v>
      </c>
      <c r="Q48" s="15" t="n">
        <f aca="false">LEN(O48)</f>
        <v>98</v>
      </c>
      <c r="R48" s="12" t="n">
        <f aca="false">LEN(P48)</f>
        <v>95</v>
      </c>
    </row>
    <row r="49" customFormat="false" ht="41.25" hidden="false" customHeight="true" outlineLevel="0" collapsed="false">
      <c r="A49" s="12" t="n">
        <v>45</v>
      </c>
      <c r="B49" s="13" t="s">
        <v>779</v>
      </c>
      <c r="C49" s="13" t="s">
        <v>903</v>
      </c>
      <c r="D49" s="13" t="s">
        <v>904</v>
      </c>
      <c r="E49" s="14" t="s">
        <v>905</v>
      </c>
      <c r="F49" s="15" t="n">
        <f aca="false">LEN(E49)</f>
        <v>51</v>
      </c>
      <c r="G49" s="16" t="s">
        <v>906</v>
      </c>
      <c r="H49" s="15" t="n">
        <f aca="false">LEN(G49)</f>
        <v>148</v>
      </c>
      <c r="I49" s="13" t="s">
        <v>907</v>
      </c>
      <c r="J49" s="13" t="s">
        <v>908</v>
      </c>
      <c r="K49" s="13" t="s">
        <v>257</v>
      </c>
      <c r="L49" s="19" t="s">
        <v>299</v>
      </c>
      <c r="M49" s="12" t="s">
        <v>80</v>
      </c>
      <c r="N49" s="13" t="s">
        <v>786</v>
      </c>
      <c r="O49" s="13" t="s">
        <v>909</v>
      </c>
      <c r="P49" s="13" t="s">
        <v>910</v>
      </c>
      <c r="Q49" s="15" t="n">
        <f aca="false">LEN(O49)</f>
        <v>100</v>
      </c>
      <c r="R49" s="12" t="n">
        <f aca="false">LEN(P49)</f>
        <v>103</v>
      </c>
    </row>
    <row r="50" customFormat="false" ht="41.25" hidden="false" customHeight="true" outlineLevel="0" collapsed="false">
      <c r="A50" s="12" t="n">
        <v>46</v>
      </c>
      <c r="B50" s="13" t="s">
        <v>779</v>
      </c>
      <c r="C50" s="13" t="s">
        <v>911</v>
      </c>
      <c r="D50" s="13" t="s">
        <v>912</v>
      </c>
      <c r="E50" s="14" t="s">
        <v>913</v>
      </c>
      <c r="F50" s="15" t="n">
        <f aca="false">LEN(E50)</f>
        <v>59</v>
      </c>
      <c r="G50" s="16" t="s">
        <v>914</v>
      </c>
      <c r="H50" s="15" t="n">
        <f aca="false">LEN(G50)</f>
        <v>145</v>
      </c>
      <c r="I50" s="13" t="s">
        <v>915</v>
      </c>
      <c r="J50" s="13" t="s">
        <v>916</v>
      </c>
      <c r="K50" s="13" t="s">
        <v>257</v>
      </c>
      <c r="L50" s="19" t="s">
        <v>299</v>
      </c>
      <c r="M50" s="12" t="s">
        <v>80</v>
      </c>
      <c r="N50" s="13" t="s">
        <v>786</v>
      </c>
      <c r="O50" s="13" t="s">
        <v>917</v>
      </c>
      <c r="P50" s="13" t="s">
        <v>918</v>
      </c>
      <c r="Q50" s="15" t="n">
        <f aca="false">LEN(O50)</f>
        <v>90</v>
      </c>
      <c r="R50" s="12" t="n">
        <f aca="false">LEN(P50)</f>
        <v>112</v>
      </c>
    </row>
    <row r="51" customFormat="false" ht="41.25" hidden="false" customHeight="true" outlineLevel="0" collapsed="false">
      <c r="A51" s="12" t="n">
        <v>47</v>
      </c>
      <c r="B51" s="13" t="s">
        <v>779</v>
      </c>
      <c r="C51" s="13" t="s">
        <v>919</v>
      </c>
      <c r="D51" s="13" t="s">
        <v>920</v>
      </c>
      <c r="E51" s="14" t="s">
        <v>921</v>
      </c>
      <c r="F51" s="15" t="n">
        <f aca="false">LEN(E51)</f>
        <v>53</v>
      </c>
      <c r="G51" s="16" t="s">
        <v>922</v>
      </c>
      <c r="H51" s="15" t="n">
        <f aca="false">LEN(G51)</f>
        <v>146</v>
      </c>
      <c r="I51" s="13" t="s">
        <v>923</v>
      </c>
      <c r="J51" s="13" t="s">
        <v>924</v>
      </c>
      <c r="K51" s="13" t="s">
        <v>257</v>
      </c>
      <c r="L51" s="19" t="s">
        <v>299</v>
      </c>
      <c r="M51" s="12" t="s">
        <v>80</v>
      </c>
      <c r="N51" s="13" t="s">
        <v>786</v>
      </c>
      <c r="O51" s="13" t="s">
        <v>925</v>
      </c>
      <c r="P51" s="13" t="s">
        <v>926</v>
      </c>
      <c r="Q51" s="15" t="n">
        <f aca="false">LEN(O51)</f>
        <v>105</v>
      </c>
      <c r="R51" s="12" t="n">
        <f aca="false">LEN(P51)</f>
        <v>111</v>
      </c>
    </row>
    <row r="52" customFormat="false" ht="41.25" hidden="false" customHeight="true" outlineLevel="0" collapsed="false">
      <c r="A52" s="12" t="n">
        <v>48</v>
      </c>
      <c r="B52" s="13" t="s">
        <v>779</v>
      </c>
      <c r="C52" s="13" t="s">
        <v>927</v>
      </c>
      <c r="D52" s="13" t="s">
        <v>928</v>
      </c>
      <c r="E52" s="14" t="s">
        <v>929</v>
      </c>
      <c r="F52" s="15" t="n">
        <f aca="false">LEN(E52)</f>
        <v>54</v>
      </c>
      <c r="G52" s="16" t="s">
        <v>930</v>
      </c>
      <c r="H52" s="15" t="n">
        <f aca="false">LEN(G52)</f>
        <v>154</v>
      </c>
      <c r="I52" s="13" t="s">
        <v>931</v>
      </c>
      <c r="J52" s="13" t="s">
        <v>932</v>
      </c>
      <c r="K52" s="13" t="s">
        <v>257</v>
      </c>
      <c r="L52" s="19" t="s">
        <v>299</v>
      </c>
      <c r="M52" s="12" t="s">
        <v>80</v>
      </c>
      <c r="N52" s="13" t="s">
        <v>786</v>
      </c>
      <c r="O52" s="13" t="s">
        <v>933</v>
      </c>
      <c r="P52" s="13" t="s">
        <v>934</v>
      </c>
      <c r="Q52" s="15" t="n">
        <f aca="false">LEN(O52)</f>
        <v>84</v>
      </c>
      <c r="R52" s="12" t="n">
        <f aca="false">LEN(P52)</f>
        <v>101</v>
      </c>
    </row>
    <row r="53" customFormat="false" ht="41.25" hidden="false" customHeight="true" outlineLevel="0" collapsed="false">
      <c r="A53" s="12" t="n">
        <v>49</v>
      </c>
      <c r="B53" s="13" t="s">
        <v>779</v>
      </c>
      <c r="C53" s="13" t="s">
        <v>935</v>
      </c>
      <c r="D53" s="13" t="s">
        <v>936</v>
      </c>
      <c r="E53" s="14" t="s">
        <v>937</v>
      </c>
      <c r="F53" s="15" t="n">
        <f aca="false">LEN(E53)</f>
        <v>58</v>
      </c>
      <c r="G53" s="16" t="s">
        <v>938</v>
      </c>
      <c r="H53" s="15" t="n">
        <f aca="false">LEN(G53)</f>
        <v>150</v>
      </c>
      <c r="I53" s="13" t="s">
        <v>939</v>
      </c>
      <c r="J53" s="13" t="s">
        <v>940</v>
      </c>
      <c r="K53" s="13" t="s">
        <v>257</v>
      </c>
      <c r="L53" s="19" t="s">
        <v>299</v>
      </c>
      <c r="M53" s="12" t="s">
        <v>80</v>
      </c>
      <c r="N53" s="13" t="s">
        <v>786</v>
      </c>
      <c r="O53" s="13" t="s">
        <v>941</v>
      </c>
      <c r="P53" s="13" t="s">
        <v>942</v>
      </c>
      <c r="Q53" s="15" t="n">
        <f aca="false">LEN(O53)</f>
        <v>97</v>
      </c>
      <c r="R53" s="12" t="n">
        <f aca="false">LEN(P53)</f>
        <v>114</v>
      </c>
    </row>
    <row r="54" customFormat="false" ht="41.25" hidden="false" customHeight="true" outlineLevel="0" collapsed="false">
      <c r="A54" s="12" t="n">
        <v>50</v>
      </c>
      <c r="B54" s="13" t="s">
        <v>779</v>
      </c>
      <c r="C54" s="13" t="s">
        <v>943</v>
      </c>
      <c r="D54" s="13" t="s">
        <v>944</v>
      </c>
      <c r="E54" s="14" t="s">
        <v>945</v>
      </c>
      <c r="F54" s="15" t="n">
        <f aca="false">LEN(E54)</f>
        <v>49</v>
      </c>
      <c r="G54" s="16" t="s">
        <v>946</v>
      </c>
      <c r="H54" s="15" t="n">
        <f aca="false">LEN(G54)</f>
        <v>150</v>
      </c>
      <c r="I54" s="13" t="s">
        <v>947</v>
      </c>
      <c r="J54" s="13" t="s">
        <v>948</v>
      </c>
      <c r="K54" s="13" t="s">
        <v>257</v>
      </c>
      <c r="L54" s="19" t="s">
        <v>299</v>
      </c>
      <c r="M54" s="12" t="s">
        <v>80</v>
      </c>
      <c r="N54" s="13" t="s">
        <v>786</v>
      </c>
      <c r="O54" s="13" t="s">
        <v>949</v>
      </c>
      <c r="P54" s="13" t="s">
        <v>950</v>
      </c>
      <c r="Q54" s="15" t="n">
        <f aca="false">LEN(O54)</f>
        <v>94</v>
      </c>
      <c r="R54" s="12" t="n">
        <f aca="false">LEN(P54)</f>
        <v>107</v>
      </c>
    </row>
    <row r="55" customFormat="false" ht="41.25" hidden="false" customHeight="true" outlineLevel="0" collapsed="false">
      <c r="A55" s="12" t="n">
        <v>51</v>
      </c>
      <c r="B55" s="13" t="s">
        <v>779</v>
      </c>
      <c r="C55" s="13" t="s">
        <v>951</v>
      </c>
      <c r="D55" s="13" t="s">
        <v>952</v>
      </c>
      <c r="E55" s="14" t="s">
        <v>953</v>
      </c>
      <c r="F55" s="15" t="n">
        <f aca="false">LEN(E55)</f>
        <v>54</v>
      </c>
      <c r="G55" s="16" t="s">
        <v>954</v>
      </c>
      <c r="H55" s="15" t="n">
        <f aca="false">LEN(G55)</f>
        <v>147</v>
      </c>
      <c r="I55" s="13" t="s">
        <v>955</v>
      </c>
      <c r="J55" s="13" t="s">
        <v>956</v>
      </c>
      <c r="K55" s="13" t="s">
        <v>257</v>
      </c>
      <c r="L55" s="19" t="s">
        <v>299</v>
      </c>
      <c r="M55" s="12" t="s">
        <v>80</v>
      </c>
      <c r="N55" s="13" t="s">
        <v>786</v>
      </c>
      <c r="O55" s="13" t="s">
        <v>957</v>
      </c>
      <c r="P55" s="13" t="s">
        <v>958</v>
      </c>
      <c r="Q55" s="15" t="n">
        <f aca="false">LEN(O55)</f>
        <v>88</v>
      </c>
      <c r="R55" s="12" t="n">
        <f aca="false">LEN(P55)</f>
        <v>97</v>
      </c>
    </row>
    <row r="56" customFormat="false" ht="41.25" hidden="false" customHeight="true" outlineLevel="0" collapsed="false">
      <c r="A56" s="12" t="n">
        <v>52</v>
      </c>
      <c r="B56" s="13" t="s">
        <v>779</v>
      </c>
      <c r="C56" s="13" t="s">
        <v>959</v>
      </c>
      <c r="D56" s="13" t="s">
        <v>960</v>
      </c>
      <c r="E56" s="14" t="s">
        <v>961</v>
      </c>
      <c r="F56" s="15" t="n">
        <f aca="false">LEN(E56)</f>
        <v>56</v>
      </c>
      <c r="G56" s="16" t="s">
        <v>962</v>
      </c>
      <c r="H56" s="15" t="n">
        <f aca="false">LEN(G56)</f>
        <v>139</v>
      </c>
      <c r="I56" s="13" t="s">
        <v>963</v>
      </c>
      <c r="J56" s="13" t="s">
        <v>964</v>
      </c>
      <c r="K56" s="13" t="s">
        <v>257</v>
      </c>
      <c r="L56" s="19" t="s">
        <v>299</v>
      </c>
      <c r="M56" s="12" t="s">
        <v>80</v>
      </c>
      <c r="N56" s="13" t="s">
        <v>786</v>
      </c>
      <c r="O56" s="13" t="s">
        <v>965</v>
      </c>
      <c r="P56" s="13" t="s">
        <v>966</v>
      </c>
      <c r="Q56" s="15" t="n">
        <f aca="false">LEN(O56)</f>
        <v>82</v>
      </c>
      <c r="R56" s="12" t="n">
        <f aca="false">LEN(P56)</f>
        <v>100</v>
      </c>
    </row>
  </sheetData>
  <autoFilter ref="A4:R56"/>
  <mergeCells count="1">
    <mergeCell ref="A2:N2"/>
  </mergeCells>
  <conditionalFormatting sqref="F5:F56">
    <cfRule type="expression" priority="2" aboveAverage="0" equalAverage="0" bottom="0" percent="0" rank="0" text="" dxfId="9">
      <formula>F5&gt;60</formula>
    </cfRule>
  </conditionalFormatting>
  <conditionalFormatting sqref="H5:H56">
    <cfRule type="expression" priority="3" aboveAverage="0" equalAverage="0" bottom="0" percent="0" rank="0" text="" dxfId="9">
      <formula>AND($M5&lt;&gt;"NOINDEX",H5&gt;160)</formula>
    </cfRule>
    <cfRule type="expression" priority="4" aboveAverage="0" equalAverage="0" bottom="0" percent="0" rank="0" text="" dxfId="10">
      <formula>AND($M5&lt;&gt;"NOINDEX",H5&lt;125)</formula>
    </cfRule>
  </conditionalFormatting>
  <conditionalFormatting sqref="Q5:Q56">
    <cfRule type="expression" priority="5" aboveAverage="0" equalAverage="0" bottom="0" percent="0" rank="0" text="" dxfId="10">
      <formula>Q5&gt;60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928"/>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20"/>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34"/>
    <col collapsed="false" customWidth="true" hidden="false" outlineLevel="0" max="8" min="8" style="0" width="80"/>
  </cols>
  <sheetData>
    <row r="1" customFormat="false" ht="17.35" hidden="false" customHeight="false" outlineLevel="0" collapsed="false">
      <c r="A1" s="9" t="s">
        <v>967</v>
      </c>
    </row>
    <row r="2" customFormat="false" ht="54" hidden="false" customHeight="true" outlineLevel="0" collapsed="false">
      <c r="A2" s="10" t="s">
        <v>968</v>
      </c>
      <c r="B2" s="10"/>
      <c r="C2" s="10"/>
      <c r="D2" s="10"/>
      <c r="E2" s="10"/>
      <c r="F2" s="10"/>
      <c r="G2" s="10"/>
      <c r="H2" s="10"/>
    </row>
    <row r="4" customFormat="false" ht="30" hidden="false" customHeight="true" outlineLevel="0" collapsed="false">
      <c r="A4" s="11" t="s">
        <v>969</v>
      </c>
      <c r="B4" s="11" t="s">
        <v>970</v>
      </c>
      <c r="C4" s="11" t="s">
        <v>63</v>
      </c>
      <c r="D4" s="11" t="s">
        <v>971</v>
      </c>
      <c r="E4" s="11" t="s">
        <v>972</v>
      </c>
      <c r="F4" s="11" t="s">
        <v>973</v>
      </c>
      <c r="G4" s="11" t="s">
        <v>974</v>
      </c>
      <c r="H4" s="11" t="s">
        <v>975</v>
      </c>
    </row>
    <row r="5" customFormat="false" ht="41.25" hidden="false" customHeight="true" outlineLevel="0" collapsed="false">
      <c r="A5" s="13" t="s">
        <v>14</v>
      </c>
      <c r="B5" s="21" t="s">
        <v>976</v>
      </c>
      <c r="C5" s="13" t="s">
        <v>563</v>
      </c>
      <c r="D5" s="12" t="s">
        <v>977</v>
      </c>
      <c r="E5" s="12" t="s">
        <v>977</v>
      </c>
      <c r="F5" s="22" t="s">
        <v>978</v>
      </c>
      <c r="G5" s="13" t="s">
        <v>979</v>
      </c>
      <c r="H5" s="13" t="s">
        <v>980</v>
      </c>
    </row>
    <row r="6" customFormat="false" ht="28.5" hidden="false" customHeight="true" outlineLevel="0" collapsed="false">
      <c r="A6" s="13" t="s">
        <v>14</v>
      </c>
      <c r="B6" s="21" t="s">
        <v>981</v>
      </c>
      <c r="C6" s="13" t="s">
        <v>563</v>
      </c>
      <c r="D6" s="12" t="s">
        <v>977</v>
      </c>
      <c r="E6" s="12" t="s">
        <v>977</v>
      </c>
      <c r="F6" s="22" t="s">
        <v>978</v>
      </c>
      <c r="G6" s="13" t="s">
        <v>982</v>
      </c>
      <c r="H6" s="13" t="s">
        <v>983</v>
      </c>
    </row>
    <row r="7" customFormat="false" ht="41.25" hidden="false" customHeight="true" outlineLevel="0" collapsed="false">
      <c r="A7" s="13" t="s">
        <v>984</v>
      </c>
      <c r="B7" s="21" t="s">
        <v>985</v>
      </c>
      <c r="C7" s="13" t="s">
        <v>986</v>
      </c>
      <c r="D7" s="12" t="s">
        <v>977</v>
      </c>
      <c r="E7" s="12" t="s">
        <v>977</v>
      </c>
      <c r="F7" s="23" t="s">
        <v>987</v>
      </c>
      <c r="G7" s="13" t="s">
        <v>988</v>
      </c>
      <c r="H7" s="13" t="s">
        <v>989</v>
      </c>
    </row>
    <row r="8" customFormat="false" ht="28.5" hidden="false" customHeight="true" outlineLevel="0" collapsed="false">
      <c r="A8" s="13" t="s">
        <v>984</v>
      </c>
      <c r="B8" s="21" t="s">
        <v>990</v>
      </c>
      <c r="C8" s="13" t="s">
        <v>986</v>
      </c>
      <c r="D8" s="12" t="s">
        <v>977</v>
      </c>
      <c r="E8" s="12" t="s">
        <v>977</v>
      </c>
      <c r="F8" s="23" t="s">
        <v>987</v>
      </c>
      <c r="G8" s="13" t="s">
        <v>991</v>
      </c>
      <c r="H8" s="13" t="s">
        <v>992</v>
      </c>
    </row>
    <row r="9" customFormat="false" ht="28.5" hidden="false" customHeight="true" outlineLevel="0" collapsed="false">
      <c r="A9" s="13" t="s">
        <v>984</v>
      </c>
      <c r="B9" s="21" t="s">
        <v>993</v>
      </c>
      <c r="C9" s="13" t="s">
        <v>984</v>
      </c>
      <c r="D9" s="12" t="s">
        <v>994</v>
      </c>
      <c r="E9" s="12" t="s">
        <v>977</v>
      </c>
      <c r="F9" s="23" t="s">
        <v>987</v>
      </c>
      <c r="G9" s="13" t="s">
        <v>995</v>
      </c>
      <c r="H9" s="13" t="s">
        <v>996</v>
      </c>
    </row>
    <row r="10" customFormat="false" ht="18" hidden="false" customHeight="true" outlineLevel="0" collapsed="false">
      <c r="A10" s="13" t="s">
        <v>997</v>
      </c>
      <c r="B10" s="21" t="s">
        <v>119</v>
      </c>
      <c r="C10" s="13" t="s">
        <v>121</v>
      </c>
      <c r="D10" s="12" t="s">
        <v>998</v>
      </c>
      <c r="E10" s="12" t="s">
        <v>998</v>
      </c>
      <c r="F10" s="19" t="s">
        <v>999</v>
      </c>
      <c r="G10" s="13" t="s">
        <v>1000</v>
      </c>
      <c r="H10" s="13" t="s">
        <v>1001</v>
      </c>
    </row>
    <row r="11" customFormat="false" ht="28.5" hidden="false" customHeight="true" outlineLevel="0" collapsed="false">
      <c r="A11" s="13" t="s">
        <v>997</v>
      </c>
      <c r="B11" s="21" t="s">
        <v>390</v>
      </c>
      <c r="C11" s="13" t="s">
        <v>257</v>
      </c>
      <c r="D11" s="12" t="s">
        <v>1002</v>
      </c>
      <c r="E11" s="12" t="s">
        <v>1002</v>
      </c>
      <c r="F11" s="19" t="s">
        <v>999</v>
      </c>
      <c r="G11" s="13" t="s">
        <v>1003</v>
      </c>
      <c r="H11" s="13" t="s">
        <v>1004</v>
      </c>
    </row>
    <row r="12" customFormat="false" ht="18" hidden="false" customHeight="true" outlineLevel="0" collapsed="false">
      <c r="A12" s="13" t="s">
        <v>997</v>
      </c>
      <c r="B12" s="21" t="s">
        <v>802</v>
      </c>
      <c r="C12" s="13" t="s">
        <v>257</v>
      </c>
      <c r="D12" s="12" t="s">
        <v>998</v>
      </c>
      <c r="E12" s="12" t="s">
        <v>998</v>
      </c>
      <c r="F12" s="24" t="s">
        <v>1005</v>
      </c>
      <c r="G12" s="13" t="s">
        <v>1006</v>
      </c>
      <c r="H12" s="13" t="s">
        <v>1007</v>
      </c>
    </row>
    <row r="13" customFormat="false" ht="18" hidden="false" customHeight="true" outlineLevel="0" collapsed="false">
      <c r="A13" s="13" t="s">
        <v>997</v>
      </c>
      <c r="B13" s="21" t="s">
        <v>427</v>
      </c>
      <c r="C13" s="13" t="s">
        <v>1008</v>
      </c>
      <c r="D13" s="12" t="s">
        <v>998</v>
      </c>
      <c r="E13" s="12" t="s">
        <v>998</v>
      </c>
      <c r="F13" s="24" t="s">
        <v>1005</v>
      </c>
      <c r="G13" s="13" t="s">
        <v>1009</v>
      </c>
      <c r="H13" s="13" t="s">
        <v>1010</v>
      </c>
    </row>
    <row r="14" customFormat="false" ht="18" hidden="false" customHeight="true" outlineLevel="0" collapsed="false">
      <c r="A14" s="13" t="s">
        <v>997</v>
      </c>
      <c r="B14" s="21" t="s">
        <v>818</v>
      </c>
      <c r="C14" s="13" t="s">
        <v>1008</v>
      </c>
      <c r="D14" s="12" t="s">
        <v>998</v>
      </c>
      <c r="E14" s="12" t="s">
        <v>998</v>
      </c>
      <c r="F14" s="24" t="s">
        <v>1005</v>
      </c>
      <c r="G14" s="13" t="s">
        <v>1011</v>
      </c>
      <c r="H14" s="13" t="s">
        <v>1012</v>
      </c>
    </row>
    <row r="15" customFormat="false" ht="28.5" hidden="false" customHeight="true" outlineLevel="0" collapsed="false">
      <c r="A15" s="13" t="s">
        <v>997</v>
      </c>
      <c r="B15" s="21" t="s">
        <v>1013</v>
      </c>
      <c r="C15" s="13" t="s">
        <v>257</v>
      </c>
      <c r="D15" s="12" t="s">
        <v>998</v>
      </c>
      <c r="E15" s="12" t="s">
        <v>998</v>
      </c>
      <c r="F15" s="24" t="s">
        <v>1005</v>
      </c>
      <c r="G15" s="13" t="s">
        <v>1014</v>
      </c>
      <c r="H15" s="13" t="s">
        <v>1015</v>
      </c>
    </row>
    <row r="16" customFormat="false" ht="18" hidden="false" customHeight="true" outlineLevel="0" collapsed="false">
      <c r="A16" s="13" t="s">
        <v>997</v>
      </c>
      <c r="B16" s="21" t="s">
        <v>354</v>
      </c>
      <c r="C16" s="13" t="s">
        <v>257</v>
      </c>
      <c r="D16" s="12" t="s">
        <v>998</v>
      </c>
      <c r="E16" s="12" t="s">
        <v>994</v>
      </c>
      <c r="F16" s="24" t="s">
        <v>1005</v>
      </c>
      <c r="G16" s="13" t="s">
        <v>1016</v>
      </c>
      <c r="H16" s="13" t="s">
        <v>1017</v>
      </c>
    </row>
    <row r="17" customFormat="false" ht="18" hidden="false" customHeight="true" outlineLevel="0" collapsed="false">
      <c r="A17" s="13" t="s">
        <v>997</v>
      </c>
      <c r="B17" s="21" t="s">
        <v>1018</v>
      </c>
      <c r="C17" s="13" t="s">
        <v>257</v>
      </c>
      <c r="D17" s="12" t="s">
        <v>998</v>
      </c>
      <c r="E17" s="12" t="s">
        <v>998</v>
      </c>
      <c r="F17" s="19" t="s">
        <v>999</v>
      </c>
      <c r="G17" s="13" t="s">
        <v>1019</v>
      </c>
      <c r="H17" s="13" t="s">
        <v>1020</v>
      </c>
    </row>
    <row r="18" customFormat="false" ht="18" hidden="false" customHeight="true" outlineLevel="0" collapsed="false">
      <c r="A18" s="13" t="s">
        <v>1021</v>
      </c>
      <c r="B18" s="21" t="s">
        <v>1022</v>
      </c>
      <c r="C18" s="13" t="s">
        <v>1023</v>
      </c>
      <c r="D18" s="12" t="s">
        <v>1024</v>
      </c>
      <c r="E18" s="12" t="s">
        <v>994</v>
      </c>
      <c r="F18" s="23" t="s">
        <v>987</v>
      </c>
      <c r="G18" s="13" t="s">
        <v>1025</v>
      </c>
      <c r="H18" s="13" t="s">
        <v>1026</v>
      </c>
    </row>
    <row r="19" customFormat="false" ht="28.5" hidden="false" customHeight="true" outlineLevel="0" collapsed="false">
      <c r="A19" s="13" t="s">
        <v>174</v>
      </c>
      <c r="B19" s="21" t="s">
        <v>1027</v>
      </c>
      <c r="C19" s="13" t="s">
        <v>191</v>
      </c>
      <c r="D19" s="12" t="s">
        <v>998</v>
      </c>
      <c r="E19" s="12" t="s">
        <v>994</v>
      </c>
      <c r="F19" s="23" t="s">
        <v>987</v>
      </c>
      <c r="G19" s="13" t="s">
        <v>1028</v>
      </c>
      <c r="H19" s="13" t="s">
        <v>1029</v>
      </c>
    </row>
    <row r="20" customFormat="false" ht="28.5" hidden="false" customHeight="true" outlineLevel="0" collapsed="false">
      <c r="A20" s="13" t="s">
        <v>174</v>
      </c>
      <c r="B20" s="21" t="s">
        <v>1030</v>
      </c>
      <c r="C20" s="13" t="s">
        <v>191</v>
      </c>
      <c r="D20" s="12" t="s">
        <v>994</v>
      </c>
      <c r="E20" s="12" t="s">
        <v>994</v>
      </c>
      <c r="F20" s="23" t="s">
        <v>987</v>
      </c>
      <c r="G20" s="13" t="s">
        <v>1031</v>
      </c>
      <c r="H20" s="13" t="s">
        <v>1032</v>
      </c>
    </row>
    <row r="21" customFormat="false" ht="18" hidden="false" customHeight="true" outlineLevel="0" collapsed="false">
      <c r="A21" s="13" t="s">
        <v>174</v>
      </c>
      <c r="B21" s="21" t="s">
        <v>189</v>
      </c>
      <c r="C21" s="13" t="s">
        <v>191</v>
      </c>
      <c r="D21" s="12" t="s">
        <v>1002</v>
      </c>
      <c r="E21" s="12" t="s">
        <v>1002</v>
      </c>
      <c r="F21" s="19" t="s">
        <v>999</v>
      </c>
      <c r="G21" s="13" t="s">
        <v>1031</v>
      </c>
      <c r="H21" s="13" t="s">
        <v>1033</v>
      </c>
    </row>
    <row r="22" customFormat="false" ht="18" hidden="false" customHeight="true" outlineLevel="0" collapsed="false">
      <c r="A22" s="13" t="s">
        <v>174</v>
      </c>
      <c r="B22" s="21" t="s">
        <v>208</v>
      </c>
      <c r="C22" s="13" t="s">
        <v>191</v>
      </c>
      <c r="D22" s="12" t="s">
        <v>998</v>
      </c>
      <c r="E22" s="12" t="s">
        <v>998</v>
      </c>
      <c r="F22" s="24" t="s">
        <v>1005</v>
      </c>
      <c r="G22" s="13" t="s">
        <v>1034</v>
      </c>
      <c r="H22" s="13" t="s">
        <v>1035</v>
      </c>
    </row>
    <row r="23" customFormat="false" ht="18" hidden="false" customHeight="true" outlineLevel="0" collapsed="false">
      <c r="A23" s="13" t="s">
        <v>174</v>
      </c>
      <c r="B23" s="21" t="s">
        <v>199</v>
      </c>
      <c r="C23" s="13" t="s">
        <v>191</v>
      </c>
      <c r="D23" s="12" t="s">
        <v>1002</v>
      </c>
      <c r="E23" s="12" t="s">
        <v>1002</v>
      </c>
      <c r="F23" s="19" t="s">
        <v>999</v>
      </c>
      <c r="G23" s="13" t="s">
        <v>1036</v>
      </c>
      <c r="H23" s="13" t="s">
        <v>1037</v>
      </c>
    </row>
    <row r="24" customFormat="false" ht="18" hidden="false" customHeight="true" outlineLevel="0" collapsed="false">
      <c r="A24" s="13" t="s">
        <v>174</v>
      </c>
      <c r="B24" s="21" t="s">
        <v>217</v>
      </c>
      <c r="C24" s="13" t="s">
        <v>191</v>
      </c>
      <c r="D24" s="12" t="s">
        <v>998</v>
      </c>
      <c r="E24" s="12" t="s">
        <v>998</v>
      </c>
      <c r="F24" s="24" t="s">
        <v>1005</v>
      </c>
      <c r="G24" s="13" t="s">
        <v>1038</v>
      </c>
      <c r="H24" s="13" t="s">
        <v>1039</v>
      </c>
    </row>
    <row r="25" customFormat="false" ht="18" hidden="false" customHeight="true" outlineLevel="0" collapsed="false">
      <c r="A25" s="13" t="s">
        <v>174</v>
      </c>
      <c r="B25" s="21" t="s">
        <v>226</v>
      </c>
      <c r="C25" s="13" t="s">
        <v>191</v>
      </c>
      <c r="D25" s="12" t="s">
        <v>1002</v>
      </c>
      <c r="E25" s="12" t="s">
        <v>1002</v>
      </c>
      <c r="F25" s="19" t="s">
        <v>999</v>
      </c>
      <c r="G25" s="13" t="s">
        <v>1040</v>
      </c>
      <c r="H25" s="13" t="s">
        <v>1041</v>
      </c>
    </row>
    <row r="26" customFormat="false" ht="28.5" hidden="false" customHeight="true" outlineLevel="0" collapsed="false">
      <c r="A26" s="13" t="s">
        <v>174</v>
      </c>
      <c r="B26" s="21" t="s">
        <v>1042</v>
      </c>
      <c r="C26" s="13" t="s">
        <v>191</v>
      </c>
      <c r="D26" s="12" t="s">
        <v>1043</v>
      </c>
      <c r="E26" s="12" t="s">
        <v>998</v>
      </c>
      <c r="F26" s="24" t="s">
        <v>1005</v>
      </c>
      <c r="G26" s="13" t="s">
        <v>1044</v>
      </c>
      <c r="H26" s="13" t="s">
        <v>1045</v>
      </c>
    </row>
    <row r="27" customFormat="false" ht="28.5" hidden="false" customHeight="true" outlineLevel="0" collapsed="false">
      <c r="A27" s="13" t="s">
        <v>174</v>
      </c>
      <c r="B27" s="21" t="s">
        <v>1046</v>
      </c>
      <c r="C27" s="13" t="s">
        <v>191</v>
      </c>
      <c r="D27" s="12" t="s">
        <v>998</v>
      </c>
      <c r="E27" s="12" t="s">
        <v>998</v>
      </c>
      <c r="F27" s="24" t="s">
        <v>1047</v>
      </c>
      <c r="G27" s="13" t="s">
        <v>1048</v>
      </c>
      <c r="H27" s="13" t="s">
        <v>1049</v>
      </c>
    </row>
    <row r="28" customFormat="false" ht="28.5" hidden="false" customHeight="true" outlineLevel="0" collapsed="false">
      <c r="A28" s="13" t="s">
        <v>1050</v>
      </c>
      <c r="B28" s="21" t="s">
        <v>149</v>
      </c>
      <c r="C28" s="13" t="s">
        <v>121</v>
      </c>
      <c r="D28" s="12" t="s">
        <v>994</v>
      </c>
      <c r="E28" s="12" t="s">
        <v>994</v>
      </c>
      <c r="F28" s="24" t="s">
        <v>1005</v>
      </c>
      <c r="G28" s="13" t="s">
        <v>1051</v>
      </c>
      <c r="H28" s="13" t="s">
        <v>1052</v>
      </c>
    </row>
    <row r="29" customFormat="false" ht="28.5" hidden="false" customHeight="true" outlineLevel="0" collapsed="false">
      <c r="A29" s="13" t="s">
        <v>1050</v>
      </c>
      <c r="B29" s="21" t="s">
        <v>1053</v>
      </c>
      <c r="C29" s="13" t="s">
        <v>121</v>
      </c>
      <c r="D29" s="12" t="s">
        <v>994</v>
      </c>
      <c r="E29" s="12" t="s">
        <v>994</v>
      </c>
      <c r="F29" s="23" t="s">
        <v>987</v>
      </c>
      <c r="G29" s="13" t="s">
        <v>1054</v>
      </c>
      <c r="H29" s="13" t="s">
        <v>1055</v>
      </c>
    </row>
    <row r="30" customFormat="false" ht="18" hidden="false" customHeight="true" outlineLevel="0" collapsed="false">
      <c r="A30" s="13" t="s">
        <v>1050</v>
      </c>
      <c r="B30" s="21" t="s">
        <v>1056</v>
      </c>
      <c r="C30" s="13" t="s">
        <v>1057</v>
      </c>
      <c r="D30" s="12" t="s">
        <v>994</v>
      </c>
      <c r="E30" s="12" t="s">
        <v>994</v>
      </c>
      <c r="F30" s="23" t="s">
        <v>987</v>
      </c>
      <c r="G30" s="13" t="s">
        <v>1058</v>
      </c>
      <c r="H30" s="13" t="s">
        <v>1059</v>
      </c>
    </row>
    <row r="31" customFormat="false" ht="18" hidden="false" customHeight="true" outlineLevel="0" collapsed="false">
      <c r="A31" s="13" t="s">
        <v>1060</v>
      </c>
      <c r="B31" s="21" t="s">
        <v>947</v>
      </c>
      <c r="C31" s="13" t="s">
        <v>257</v>
      </c>
      <c r="D31" s="12" t="s">
        <v>994</v>
      </c>
      <c r="E31" s="12" t="s">
        <v>977</v>
      </c>
      <c r="F31" s="23" t="s">
        <v>987</v>
      </c>
      <c r="G31" s="13" t="s">
        <v>1061</v>
      </c>
      <c r="H31" s="13" t="s">
        <v>1062</v>
      </c>
    </row>
    <row r="32" customFormat="false" ht="18" hidden="false" customHeight="true" outlineLevel="0" collapsed="false">
      <c r="A32" s="13" t="s">
        <v>1060</v>
      </c>
      <c r="B32" s="21" t="s">
        <v>1063</v>
      </c>
      <c r="C32" s="13" t="s">
        <v>1057</v>
      </c>
      <c r="D32" s="12" t="s">
        <v>998</v>
      </c>
      <c r="E32" s="12" t="s">
        <v>994</v>
      </c>
      <c r="F32" s="24" t="s">
        <v>1005</v>
      </c>
      <c r="G32" s="13" t="s">
        <v>1064</v>
      </c>
      <c r="H32" s="13" t="s">
        <v>1065</v>
      </c>
    </row>
    <row r="33" customFormat="false" ht="28.5" hidden="false" customHeight="true" outlineLevel="0" collapsed="false">
      <c r="A33" s="13" t="s">
        <v>1060</v>
      </c>
      <c r="B33" s="21" t="s">
        <v>1066</v>
      </c>
      <c r="C33" s="13" t="s">
        <v>121</v>
      </c>
      <c r="D33" s="12" t="s">
        <v>1002</v>
      </c>
      <c r="E33" s="12" t="s">
        <v>1002</v>
      </c>
      <c r="F33" s="19" t="s">
        <v>999</v>
      </c>
      <c r="G33" s="13" t="s">
        <v>1067</v>
      </c>
      <c r="H33" s="13" t="s">
        <v>1068</v>
      </c>
    </row>
    <row r="34" customFormat="false" ht="18" hidden="false" customHeight="true" outlineLevel="0" collapsed="false">
      <c r="A34" s="13" t="s">
        <v>1069</v>
      </c>
      <c r="B34" s="21" t="s">
        <v>344</v>
      </c>
      <c r="C34" s="13" t="s">
        <v>1057</v>
      </c>
      <c r="D34" s="12" t="s">
        <v>998</v>
      </c>
      <c r="E34" s="12" t="s">
        <v>998</v>
      </c>
      <c r="F34" s="24" t="s">
        <v>1005</v>
      </c>
      <c r="G34" s="13" t="s">
        <v>1070</v>
      </c>
      <c r="H34" s="13" t="s">
        <v>1071</v>
      </c>
    </row>
    <row r="35" customFormat="false" ht="28.5" hidden="false" customHeight="true" outlineLevel="0" collapsed="false">
      <c r="A35" s="13" t="s">
        <v>1069</v>
      </c>
      <c r="B35" s="21" t="s">
        <v>1072</v>
      </c>
      <c r="C35" s="13" t="s">
        <v>257</v>
      </c>
      <c r="D35" s="12" t="s">
        <v>994</v>
      </c>
      <c r="E35" s="12" t="s">
        <v>994</v>
      </c>
      <c r="F35" s="23" t="s">
        <v>987</v>
      </c>
      <c r="G35" s="13" t="s">
        <v>1061</v>
      </c>
      <c r="H35" s="13" t="s">
        <v>1073</v>
      </c>
    </row>
    <row r="36" customFormat="false" ht="18" hidden="false" customHeight="true" outlineLevel="0" collapsed="false">
      <c r="A36" s="13" t="s">
        <v>1074</v>
      </c>
      <c r="B36" s="21" t="s">
        <v>1075</v>
      </c>
      <c r="C36" s="13" t="s">
        <v>257</v>
      </c>
      <c r="D36" s="12" t="s">
        <v>998</v>
      </c>
      <c r="E36" s="12" t="s">
        <v>998</v>
      </c>
      <c r="F36" s="24" t="s">
        <v>1005</v>
      </c>
      <c r="G36" s="13" t="s">
        <v>1076</v>
      </c>
      <c r="H36" s="13" t="s">
        <v>1077</v>
      </c>
    </row>
    <row r="37" customFormat="false" ht="18" hidden="false" customHeight="true" outlineLevel="0" collapsed="false">
      <c r="A37" s="13" t="s">
        <v>1074</v>
      </c>
      <c r="B37" s="21" t="s">
        <v>1078</v>
      </c>
      <c r="C37" s="13" t="s">
        <v>1079</v>
      </c>
      <c r="D37" s="12" t="s">
        <v>998</v>
      </c>
      <c r="E37" s="12" t="s">
        <v>998</v>
      </c>
      <c r="F37" s="19" t="s">
        <v>999</v>
      </c>
      <c r="G37" s="13" t="s">
        <v>1076</v>
      </c>
      <c r="H37" s="13" t="s">
        <v>1080</v>
      </c>
    </row>
    <row r="38" customFormat="false" ht="28.5" hidden="false" customHeight="true" outlineLevel="0" collapsed="false">
      <c r="A38" s="13" t="s">
        <v>1074</v>
      </c>
      <c r="B38" s="21" t="s">
        <v>1081</v>
      </c>
      <c r="C38" s="13" t="s">
        <v>1082</v>
      </c>
      <c r="D38" s="12" t="s">
        <v>1083</v>
      </c>
      <c r="E38" s="12" t="s">
        <v>994</v>
      </c>
      <c r="F38" s="23" t="s">
        <v>1084</v>
      </c>
      <c r="G38" s="13" t="s">
        <v>1085</v>
      </c>
      <c r="H38" s="13" t="s">
        <v>1086</v>
      </c>
    </row>
    <row r="39" customFormat="false" ht="18" hidden="false" customHeight="true" outlineLevel="0" collapsed="false">
      <c r="A39" s="13" t="s">
        <v>1074</v>
      </c>
      <c r="B39" s="21" t="s">
        <v>255</v>
      </c>
      <c r="C39" s="13" t="s">
        <v>257</v>
      </c>
      <c r="D39" s="12" t="s">
        <v>994</v>
      </c>
      <c r="E39" s="12" t="s">
        <v>998</v>
      </c>
      <c r="F39" s="24" t="s">
        <v>1005</v>
      </c>
      <c r="G39" s="13" t="s">
        <v>1087</v>
      </c>
      <c r="H39" s="13" t="s">
        <v>1088</v>
      </c>
    </row>
    <row r="40" customFormat="false" ht="28.5" hidden="false" customHeight="true" outlineLevel="0" collapsed="false">
      <c r="A40" s="13" t="s">
        <v>1089</v>
      </c>
      <c r="B40" s="21" t="s">
        <v>1090</v>
      </c>
      <c r="C40" s="13" t="s">
        <v>191</v>
      </c>
      <c r="D40" s="12" t="s">
        <v>994</v>
      </c>
      <c r="E40" s="12" t="s">
        <v>994</v>
      </c>
      <c r="F40" s="23" t="s">
        <v>987</v>
      </c>
      <c r="G40" s="13" t="s">
        <v>1091</v>
      </c>
      <c r="H40" s="13" t="s">
        <v>1092</v>
      </c>
    </row>
    <row r="41" customFormat="false" ht="18" hidden="false" customHeight="true" outlineLevel="0" collapsed="false">
      <c r="A41" s="13" t="s">
        <v>1093</v>
      </c>
      <c r="B41" s="21" t="s">
        <v>1094</v>
      </c>
      <c r="C41" s="13" t="s">
        <v>257</v>
      </c>
      <c r="D41" s="12" t="s">
        <v>994</v>
      </c>
      <c r="E41" s="12" t="s">
        <v>994</v>
      </c>
      <c r="F41" s="24" t="s">
        <v>1005</v>
      </c>
      <c r="G41" s="13" t="s">
        <v>1095</v>
      </c>
      <c r="H41" s="13" t="s">
        <v>1096</v>
      </c>
    </row>
    <row r="42" customFormat="false" ht="28.5" hidden="false" customHeight="true" outlineLevel="0" collapsed="false">
      <c r="A42" s="13" t="s">
        <v>1093</v>
      </c>
      <c r="B42" s="21" t="s">
        <v>1097</v>
      </c>
      <c r="C42" s="13" t="s">
        <v>257</v>
      </c>
      <c r="D42" s="12" t="s">
        <v>994</v>
      </c>
      <c r="E42" s="12" t="s">
        <v>994</v>
      </c>
      <c r="F42" s="24" t="s">
        <v>1005</v>
      </c>
      <c r="G42" s="13" t="s">
        <v>1098</v>
      </c>
      <c r="H42" s="13" t="s">
        <v>1099</v>
      </c>
    </row>
    <row r="43" customFormat="false" ht="18" hidden="false" customHeight="true" outlineLevel="0" collapsed="false">
      <c r="A43" s="13" t="s">
        <v>1093</v>
      </c>
      <c r="B43" s="21" t="s">
        <v>850</v>
      </c>
      <c r="C43" s="13" t="s">
        <v>257</v>
      </c>
      <c r="D43" s="12" t="s">
        <v>994</v>
      </c>
      <c r="E43" s="12" t="s">
        <v>994</v>
      </c>
      <c r="F43" s="24" t="s">
        <v>1005</v>
      </c>
      <c r="G43" s="13" t="s">
        <v>1095</v>
      </c>
      <c r="H43" s="13" t="s">
        <v>1100</v>
      </c>
    </row>
    <row r="44" customFormat="false" ht="18" hidden="false" customHeight="true" outlineLevel="0" collapsed="false">
      <c r="A44" s="13" t="s">
        <v>1101</v>
      </c>
      <c r="B44" s="21" t="s">
        <v>1102</v>
      </c>
      <c r="C44" s="13" t="s">
        <v>257</v>
      </c>
      <c r="D44" s="12" t="s">
        <v>994</v>
      </c>
      <c r="E44" s="12" t="s">
        <v>977</v>
      </c>
      <c r="F44" s="23" t="s">
        <v>987</v>
      </c>
      <c r="G44" s="13" t="s">
        <v>1103</v>
      </c>
      <c r="H44" s="13" t="s">
        <v>1104</v>
      </c>
    </row>
    <row r="45" customFormat="false" ht="18" hidden="false" customHeight="true" outlineLevel="0" collapsed="false">
      <c r="A45" s="13" t="s">
        <v>1105</v>
      </c>
      <c r="B45" s="21" t="s">
        <v>168</v>
      </c>
      <c r="C45" s="13" t="s">
        <v>1106</v>
      </c>
      <c r="D45" s="12" t="s">
        <v>1002</v>
      </c>
      <c r="E45" s="12" t="s">
        <v>1002</v>
      </c>
      <c r="F45" s="19" t="s">
        <v>999</v>
      </c>
      <c r="G45" s="13" t="s">
        <v>1107</v>
      </c>
      <c r="H45" s="13" t="s">
        <v>1108</v>
      </c>
    </row>
  </sheetData>
  <autoFilter ref="A4:H45"/>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928"/>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8"/>
    <col collapsed="false" customWidth="true" hidden="false" outlineLevel="0" max="4" min="4" style="0" width="44"/>
    <col collapsed="false" customWidth="true" hidden="false" outlineLevel="0" max="6" min="5" style="0" width="70"/>
    <col collapsed="false" customWidth="true" hidden="false" outlineLevel="0" max="7" min="7" style="0" width="18"/>
  </cols>
  <sheetData>
    <row r="1" customFormat="false" ht="17.35" hidden="false" customHeight="false" outlineLevel="0" collapsed="false">
      <c r="A1" s="9" t="s">
        <v>1109</v>
      </c>
    </row>
    <row r="2" customFormat="false" ht="15" hidden="false" customHeight="false" outlineLevel="0" collapsed="false">
      <c r="A2" s="25" t="s">
        <v>1110</v>
      </c>
      <c r="B2" s="25"/>
      <c r="C2" s="25"/>
      <c r="D2" s="25"/>
      <c r="E2" s="25"/>
      <c r="F2" s="25"/>
      <c r="G2" s="25"/>
    </row>
    <row r="4" customFormat="false" ht="15" hidden="false" customHeight="false" outlineLevel="0" collapsed="false">
      <c r="A4" s="11" t="s">
        <v>1111</v>
      </c>
      <c r="B4" s="11" t="s">
        <v>64</v>
      </c>
      <c r="C4" s="11" t="s">
        <v>1112</v>
      </c>
      <c r="D4" s="11" t="s">
        <v>1113</v>
      </c>
      <c r="E4" s="11" t="s">
        <v>1114</v>
      </c>
      <c r="F4" s="11" t="s">
        <v>1115</v>
      </c>
      <c r="G4" s="11" t="s">
        <v>1116</v>
      </c>
    </row>
    <row r="5" customFormat="false" ht="41.25" hidden="false" customHeight="true" outlineLevel="0" collapsed="false">
      <c r="A5" s="12" t="s">
        <v>1117</v>
      </c>
      <c r="B5" s="17" t="s">
        <v>79</v>
      </c>
      <c r="C5" s="13" t="s">
        <v>1118</v>
      </c>
      <c r="D5" s="21" t="s">
        <v>1119</v>
      </c>
      <c r="E5" s="13" t="s">
        <v>1120</v>
      </c>
      <c r="F5" s="13" t="s">
        <v>1121</v>
      </c>
      <c r="G5" s="13" t="s">
        <v>1122</v>
      </c>
    </row>
    <row r="6" customFormat="false" ht="41.25" hidden="false" customHeight="true" outlineLevel="0" collapsed="false">
      <c r="A6" s="12" t="s">
        <v>1123</v>
      </c>
      <c r="B6" s="17" t="s">
        <v>79</v>
      </c>
      <c r="C6" s="13" t="s">
        <v>1124</v>
      </c>
      <c r="D6" s="21" t="s">
        <v>1125</v>
      </c>
      <c r="E6" s="13" t="s">
        <v>1126</v>
      </c>
      <c r="F6" s="13" t="s">
        <v>1127</v>
      </c>
      <c r="G6" s="13" t="s">
        <v>1122</v>
      </c>
    </row>
    <row r="7" customFormat="false" ht="28.5" hidden="false" customHeight="true" outlineLevel="0" collapsed="false">
      <c r="A7" s="12" t="s">
        <v>1128</v>
      </c>
      <c r="B7" s="17" t="s">
        <v>79</v>
      </c>
      <c r="C7" s="13" t="s">
        <v>65</v>
      </c>
      <c r="D7" s="21" t="s">
        <v>1129</v>
      </c>
      <c r="E7" s="13" t="s">
        <v>1130</v>
      </c>
      <c r="F7" s="13" t="s">
        <v>1131</v>
      </c>
      <c r="G7" s="13" t="s">
        <v>1122</v>
      </c>
    </row>
    <row r="8" customFormat="false" ht="18" hidden="false" customHeight="true" outlineLevel="0" collapsed="false">
      <c r="A8" s="12" t="s">
        <v>1132</v>
      </c>
      <c r="B8" s="17" t="s">
        <v>79</v>
      </c>
      <c r="C8" s="13" t="s">
        <v>1118</v>
      </c>
      <c r="D8" s="21" t="s">
        <v>1133</v>
      </c>
      <c r="E8" s="13" t="s">
        <v>1134</v>
      </c>
      <c r="F8" s="13" t="s">
        <v>1135</v>
      </c>
      <c r="G8" s="13" t="s">
        <v>1136</v>
      </c>
    </row>
    <row r="9" customFormat="false" ht="28.5" hidden="false" customHeight="true" outlineLevel="0" collapsed="false">
      <c r="A9" s="12" t="s">
        <v>1137</v>
      </c>
      <c r="B9" s="17" t="s">
        <v>79</v>
      </c>
      <c r="C9" s="13" t="s">
        <v>1138</v>
      </c>
      <c r="D9" s="21" t="s">
        <v>1139</v>
      </c>
      <c r="E9" s="13" t="s">
        <v>1140</v>
      </c>
      <c r="F9" s="13" t="s">
        <v>1141</v>
      </c>
      <c r="G9" s="13" t="s">
        <v>1136</v>
      </c>
    </row>
    <row r="10" customFormat="false" ht="54" hidden="false" customHeight="true" outlineLevel="0" collapsed="false">
      <c r="A10" s="12" t="s">
        <v>1142</v>
      </c>
      <c r="B10" s="17" t="s">
        <v>79</v>
      </c>
      <c r="C10" s="13" t="s">
        <v>1143</v>
      </c>
      <c r="D10" s="21" t="s">
        <v>1144</v>
      </c>
      <c r="E10" s="13" t="s">
        <v>1145</v>
      </c>
      <c r="F10" s="13" t="s">
        <v>1146</v>
      </c>
      <c r="G10" s="13" t="s">
        <v>1147</v>
      </c>
    </row>
    <row r="11" customFormat="false" ht="54" hidden="false" customHeight="true" outlineLevel="0" collapsed="false">
      <c r="A11" s="12" t="s">
        <v>1148</v>
      </c>
      <c r="B11" s="17" t="s">
        <v>79</v>
      </c>
      <c r="C11" s="13" t="s">
        <v>1143</v>
      </c>
      <c r="D11" s="21" t="s">
        <v>1149</v>
      </c>
      <c r="E11" s="13" t="s">
        <v>1150</v>
      </c>
      <c r="F11" s="13" t="s">
        <v>1151</v>
      </c>
      <c r="G11" s="13" t="s">
        <v>1147</v>
      </c>
    </row>
    <row r="12" customFormat="false" ht="41.25" hidden="false" customHeight="true" outlineLevel="0" collapsed="false">
      <c r="A12" s="12" t="s">
        <v>1152</v>
      </c>
      <c r="B12" s="17" t="s">
        <v>79</v>
      </c>
      <c r="C12" s="13" t="s">
        <v>1153</v>
      </c>
      <c r="D12" s="21" t="s">
        <v>1154</v>
      </c>
      <c r="E12" s="13" t="s">
        <v>1155</v>
      </c>
      <c r="F12" s="13" t="s">
        <v>1156</v>
      </c>
      <c r="G12" s="13" t="s">
        <v>1147</v>
      </c>
    </row>
    <row r="13" customFormat="false" ht="54" hidden="false" customHeight="true" outlineLevel="0" collapsed="false">
      <c r="A13" s="12" t="s">
        <v>1157</v>
      </c>
      <c r="B13" s="18" t="s">
        <v>160</v>
      </c>
      <c r="C13" s="13" t="s">
        <v>1158</v>
      </c>
      <c r="D13" s="21" t="s">
        <v>1159</v>
      </c>
      <c r="E13" s="13" t="s">
        <v>1160</v>
      </c>
      <c r="F13" s="13" t="s">
        <v>1161</v>
      </c>
      <c r="G13" s="13" t="s">
        <v>1122</v>
      </c>
    </row>
    <row r="14" customFormat="false" ht="18" hidden="false" customHeight="true" outlineLevel="0" collapsed="false">
      <c r="A14" s="12" t="s">
        <v>1162</v>
      </c>
      <c r="B14" s="18" t="s">
        <v>160</v>
      </c>
      <c r="C14" s="13" t="s">
        <v>1163</v>
      </c>
      <c r="D14" s="21" t="s">
        <v>1164</v>
      </c>
      <c r="E14" s="13" t="s">
        <v>1165</v>
      </c>
      <c r="F14" s="13" t="s">
        <v>1166</v>
      </c>
      <c r="G14" s="13" t="s">
        <v>1136</v>
      </c>
    </row>
    <row r="15" customFormat="false" ht="18" hidden="false" customHeight="true" outlineLevel="0" collapsed="false">
      <c r="A15" s="12" t="s">
        <v>1167</v>
      </c>
      <c r="B15" s="18" t="s">
        <v>160</v>
      </c>
      <c r="C15" s="13" t="s">
        <v>1168</v>
      </c>
      <c r="D15" s="21" t="s">
        <v>1169</v>
      </c>
      <c r="E15" s="13" t="s">
        <v>1170</v>
      </c>
      <c r="F15" s="13" t="s">
        <v>1171</v>
      </c>
      <c r="G15" s="13" t="s">
        <v>1136</v>
      </c>
    </row>
    <row r="16" customFormat="false" ht="28.5" hidden="false" customHeight="true" outlineLevel="0" collapsed="false">
      <c r="A16" s="12" t="s">
        <v>1172</v>
      </c>
      <c r="B16" s="18" t="s">
        <v>160</v>
      </c>
      <c r="C16" s="13" t="s">
        <v>1173</v>
      </c>
      <c r="D16" s="21" t="s">
        <v>1174</v>
      </c>
      <c r="E16" s="13" t="s">
        <v>1175</v>
      </c>
      <c r="F16" s="13" t="s">
        <v>1176</v>
      </c>
      <c r="G16" s="13" t="s">
        <v>1136</v>
      </c>
    </row>
    <row r="17" customFormat="false" ht="41.25" hidden="false" customHeight="true" outlineLevel="0" collapsed="false">
      <c r="A17" s="12" t="s">
        <v>1177</v>
      </c>
      <c r="B17" s="18" t="s">
        <v>160</v>
      </c>
      <c r="C17" s="13" t="s">
        <v>1178</v>
      </c>
      <c r="D17" s="21" t="s">
        <v>1179</v>
      </c>
      <c r="E17" s="13" t="s">
        <v>1180</v>
      </c>
      <c r="F17" s="13" t="s">
        <v>1181</v>
      </c>
      <c r="G17" s="13" t="s">
        <v>1122</v>
      </c>
    </row>
    <row r="18" customFormat="false" ht="28.5" hidden="false" customHeight="true" outlineLevel="0" collapsed="false">
      <c r="A18" s="12" t="s">
        <v>1182</v>
      </c>
      <c r="B18" s="18" t="s">
        <v>160</v>
      </c>
      <c r="C18" s="13" t="s">
        <v>1183</v>
      </c>
      <c r="D18" s="21" t="s">
        <v>1184</v>
      </c>
      <c r="E18" s="13" t="s">
        <v>1185</v>
      </c>
      <c r="F18" s="13" t="s">
        <v>1186</v>
      </c>
      <c r="G18" s="13" t="s">
        <v>1136</v>
      </c>
    </row>
    <row r="19" customFormat="false" ht="41.25" hidden="false" customHeight="true" outlineLevel="0" collapsed="false">
      <c r="A19" s="12" t="s">
        <v>1187</v>
      </c>
      <c r="B19" s="18" t="s">
        <v>160</v>
      </c>
      <c r="C19" s="13" t="s">
        <v>1188</v>
      </c>
      <c r="D19" s="21" t="s">
        <v>1189</v>
      </c>
      <c r="E19" s="13" t="s">
        <v>1190</v>
      </c>
      <c r="F19" s="13" t="s">
        <v>1191</v>
      </c>
      <c r="G19" s="13" t="s">
        <v>1136</v>
      </c>
    </row>
    <row r="20" customFormat="false" ht="54" hidden="false" customHeight="true" outlineLevel="0" collapsed="false">
      <c r="A20" s="12" t="s">
        <v>1192</v>
      </c>
      <c r="B20" s="18" t="s">
        <v>160</v>
      </c>
      <c r="C20" s="13" t="s">
        <v>1193</v>
      </c>
      <c r="D20" s="21" t="s">
        <v>1194</v>
      </c>
      <c r="E20" s="13" t="s">
        <v>1195</v>
      </c>
      <c r="F20" s="13" t="s">
        <v>1196</v>
      </c>
      <c r="G20" s="13" t="s">
        <v>1122</v>
      </c>
    </row>
    <row r="21" customFormat="false" ht="28.5" hidden="false" customHeight="true" outlineLevel="0" collapsed="false">
      <c r="A21" s="12" t="s">
        <v>1197</v>
      </c>
      <c r="B21" s="18" t="s">
        <v>160</v>
      </c>
      <c r="C21" s="13" t="s">
        <v>1198</v>
      </c>
      <c r="D21" s="21" t="s">
        <v>1199</v>
      </c>
      <c r="E21" s="13" t="s">
        <v>1200</v>
      </c>
      <c r="F21" s="13" t="s">
        <v>1201</v>
      </c>
      <c r="G21" s="13" t="s">
        <v>1122</v>
      </c>
    </row>
    <row r="22" customFormat="false" ht="28.5" hidden="false" customHeight="true" outlineLevel="0" collapsed="false">
      <c r="A22" s="12" t="s">
        <v>1202</v>
      </c>
      <c r="B22" s="18" t="s">
        <v>160</v>
      </c>
      <c r="C22" s="13" t="s">
        <v>1203</v>
      </c>
      <c r="D22" s="21" t="s">
        <v>1204</v>
      </c>
      <c r="E22" s="13" t="s">
        <v>1205</v>
      </c>
      <c r="F22" s="13" t="s">
        <v>1206</v>
      </c>
      <c r="G22" s="13" t="s">
        <v>1207</v>
      </c>
    </row>
    <row r="23" customFormat="false" ht="28.5" hidden="false" customHeight="true" outlineLevel="0" collapsed="false">
      <c r="A23" s="12" t="s">
        <v>1208</v>
      </c>
      <c r="B23" s="19" t="s">
        <v>299</v>
      </c>
      <c r="C23" s="13" t="s">
        <v>1209</v>
      </c>
      <c r="D23" s="21" t="s">
        <v>1210</v>
      </c>
      <c r="E23" s="13" t="s">
        <v>1211</v>
      </c>
      <c r="F23" s="13" t="s">
        <v>1212</v>
      </c>
      <c r="G23" s="13" t="s">
        <v>1122</v>
      </c>
    </row>
    <row r="24" customFormat="false" ht="41.25" hidden="false" customHeight="true" outlineLevel="0" collapsed="false">
      <c r="A24" s="12" t="s">
        <v>1213</v>
      </c>
      <c r="B24" s="18" t="s">
        <v>160</v>
      </c>
      <c r="C24" s="13" t="s">
        <v>1214</v>
      </c>
      <c r="D24" s="21" t="s">
        <v>1215</v>
      </c>
      <c r="E24" s="13" t="s">
        <v>1216</v>
      </c>
      <c r="F24" s="13" t="s">
        <v>1217</v>
      </c>
      <c r="G24" s="13" t="s">
        <v>1218</v>
      </c>
    </row>
    <row r="25" customFormat="false" ht="41.25" hidden="false" customHeight="true" outlineLevel="0" collapsed="false">
      <c r="A25" s="12" t="s">
        <v>1219</v>
      </c>
      <c r="B25" s="19" t="s">
        <v>299</v>
      </c>
      <c r="C25" s="13" t="s">
        <v>1220</v>
      </c>
      <c r="D25" s="21" t="s">
        <v>1221</v>
      </c>
      <c r="E25" s="13" t="s">
        <v>1222</v>
      </c>
      <c r="F25" s="13" t="s">
        <v>1223</v>
      </c>
      <c r="G25" s="13" t="s">
        <v>1224</v>
      </c>
    </row>
    <row r="26" customFormat="false" ht="28.5" hidden="false" customHeight="true" outlineLevel="0" collapsed="false">
      <c r="A26" s="12" t="s">
        <v>1225</v>
      </c>
      <c r="B26" s="18" t="s">
        <v>160</v>
      </c>
      <c r="C26" s="13" t="s">
        <v>1226</v>
      </c>
      <c r="D26" s="21" t="s">
        <v>1227</v>
      </c>
      <c r="E26" s="13" t="s">
        <v>1228</v>
      </c>
      <c r="F26" s="13" t="s">
        <v>1229</v>
      </c>
      <c r="G26" s="13" t="s">
        <v>1136</v>
      </c>
    </row>
    <row r="27" customFormat="false" ht="41.25" hidden="false" customHeight="true" outlineLevel="0" collapsed="false">
      <c r="A27" s="12" t="s">
        <v>1230</v>
      </c>
      <c r="B27" s="18" t="s">
        <v>160</v>
      </c>
      <c r="C27" s="13" t="s">
        <v>1231</v>
      </c>
      <c r="D27" s="21" t="s">
        <v>1232</v>
      </c>
      <c r="E27" s="13" t="s">
        <v>1233</v>
      </c>
      <c r="F27" s="13" t="s">
        <v>1234</v>
      </c>
      <c r="G27" s="13" t="s">
        <v>1122</v>
      </c>
    </row>
    <row r="28" customFormat="false" ht="28.5" hidden="false" customHeight="true" outlineLevel="0" collapsed="false">
      <c r="A28" s="12" t="s">
        <v>1235</v>
      </c>
      <c r="B28" s="19" t="s">
        <v>299</v>
      </c>
      <c r="C28" s="13" t="s">
        <v>1236</v>
      </c>
      <c r="D28" s="21" t="s">
        <v>1237</v>
      </c>
      <c r="E28" s="13" t="s">
        <v>1238</v>
      </c>
      <c r="F28" s="13" t="s">
        <v>1239</v>
      </c>
      <c r="G28" s="13" t="s">
        <v>1136</v>
      </c>
    </row>
  </sheetData>
  <autoFilter ref="A4:G28"/>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928"/>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90"/>
    <col collapsed="false" customWidth="true" hidden="false" outlineLevel="0" max="4" min="4" style="0" width="30"/>
    <col collapsed="false" customWidth="true" hidden="false" outlineLevel="0" max="5" min="5" style="0" width="56"/>
  </cols>
  <sheetData>
    <row r="1" customFormat="false" ht="17.35" hidden="false" customHeight="false" outlineLevel="0" collapsed="false">
      <c r="A1" s="9" t="s">
        <v>1240</v>
      </c>
    </row>
    <row r="2" customFormat="false" ht="15" hidden="false" customHeight="false" outlineLevel="0" collapsed="false">
      <c r="A2" s="25" t="s">
        <v>1241</v>
      </c>
      <c r="B2" s="25"/>
      <c r="C2" s="25"/>
      <c r="D2" s="25"/>
      <c r="E2" s="25"/>
    </row>
    <row r="4" customFormat="false" ht="15" hidden="false" customHeight="false" outlineLevel="0" collapsed="false">
      <c r="A4" s="11" t="s">
        <v>53</v>
      </c>
      <c r="B4" s="11" t="s">
        <v>1242</v>
      </c>
      <c r="C4" s="11" t="s">
        <v>1243</v>
      </c>
      <c r="D4" s="11" t="s">
        <v>1244</v>
      </c>
      <c r="E4" s="11" t="s">
        <v>1245</v>
      </c>
    </row>
    <row r="5" customFormat="false" ht="41.25" hidden="false" customHeight="true" outlineLevel="0" collapsed="false">
      <c r="A5" s="12" t="s">
        <v>1246</v>
      </c>
      <c r="B5" s="21" t="s">
        <v>1247</v>
      </c>
      <c r="C5" s="13" t="s">
        <v>1248</v>
      </c>
      <c r="D5" s="13" t="s">
        <v>1249</v>
      </c>
      <c r="E5" s="13" t="s">
        <v>1250</v>
      </c>
    </row>
    <row r="6" customFormat="false" ht="28.5" hidden="false" customHeight="true" outlineLevel="0" collapsed="false">
      <c r="A6" s="12" t="s">
        <v>1251</v>
      </c>
      <c r="B6" s="21" t="s">
        <v>1252</v>
      </c>
      <c r="C6" s="13" t="s">
        <v>1253</v>
      </c>
      <c r="D6" s="13" t="s">
        <v>1254</v>
      </c>
      <c r="E6" s="13" t="s">
        <v>1255</v>
      </c>
    </row>
    <row r="7" customFormat="false" ht="28.5" hidden="false" customHeight="true" outlineLevel="0" collapsed="false">
      <c r="A7" s="12" t="s">
        <v>1256</v>
      </c>
      <c r="B7" s="21" t="s">
        <v>1257</v>
      </c>
      <c r="C7" s="13" t="s">
        <v>1258</v>
      </c>
      <c r="D7" s="13" t="s">
        <v>1259</v>
      </c>
      <c r="E7" s="13" t="s">
        <v>1260</v>
      </c>
    </row>
    <row r="8" customFormat="false" ht="28.5" hidden="false" customHeight="true" outlineLevel="0" collapsed="false">
      <c r="A8" s="12" t="s">
        <v>1261</v>
      </c>
      <c r="B8" s="21" t="s">
        <v>1262</v>
      </c>
      <c r="C8" s="13" t="s">
        <v>1263</v>
      </c>
      <c r="D8" s="13" t="s">
        <v>1264</v>
      </c>
      <c r="E8" s="13" t="s">
        <v>1265</v>
      </c>
    </row>
    <row r="9" customFormat="false" ht="41.25" hidden="false" customHeight="true" outlineLevel="0" collapsed="false">
      <c r="A9" s="12" t="s">
        <v>1266</v>
      </c>
      <c r="B9" s="21" t="s">
        <v>1267</v>
      </c>
      <c r="C9" s="13" t="s">
        <v>1268</v>
      </c>
      <c r="D9" s="13" t="s">
        <v>1269</v>
      </c>
      <c r="E9" s="13" t="s">
        <v>1270</v>
      </c>
    </row>
    <row r="10" customFormat="false" ht="28.5" hidden="false" customHeight="true" outlineLevel="0" collapsed="false">
      <c r="A10" s="12" t="s">
        <v>1271</v>
      </c>
      <c r="B10" s="21" t="s">
        <v>1272</v>
      </c>
      <c r="C10" s="13" t="s">
        <v>1273</v>
      </c>
      <c r="D10" s="13" t="s">
        <v>1274</v>
      </c>
      <c r="E10" s="13" t="s">
        <v>1275</v>
      </c>
    </row>
    <row r="11" customFormat="false" ht="28.5" hidden="false" customHeight="true" outlineLevel="0" collapsed="false">
      <c r="A11" s="12" t="s">
        <v>1276</v>
      </c>
      <c r="B11" s="21" t="s">
        <v>1277</v>
      </c>
      <c r="C11" s="13" t="s">
        <v>1278</v>
      </c>
      <c r="D11" s="13" t="s">
        <v>1279</v>
      </c>
      <c r="E11" s="13" t="s">
        <v>1280</v>
      </c>
    </row>
    <row r="12" customFormat="false" ht="28.5" hidden="false" customHeight="true" outlineLevel="0" collapsed="false">
      <c r="A12" s="12" t="s">
        <v>1281</v>
      </c>
      <c r="B12" s="21" t="s">
        <v>1282</v>
      </c>
      <c r="C12" s="13" t="s">
        <v>1283</v>
      </c>
      <c r="D12" s="13" t="s">
        <v>1284</v>
      </c>
      <c r="E12" s="13" t="s">
        <v>1285</v>
      </c>
    </row>
    <row r="13" customFormat="false" ht="28.5" hidden="false" customHeight="true" outlineLevel="0" collapsed="false">
      <c r="A13" s="12" t="s">
        <v>1286</v>
      </c>
      <c r="B13" s="21" t="s">
        <v>1287</v>
      </c>
      <c r="C13" s="13" t="s">
        <v>1288</v>
      </c>
      <c r="D13" s="13" t="s">
        <v>1269</v>
      </c>
      <c r="E13" s="13" t="s">
        <v>1289</v>
      </c>
    </row>
    <row r="14" customFormat="false" ht="41.25" hidden="false" customHeight="true" outlineLevel="0" collapsed="false">
      <c r="A14" s="12" t="s">
        <v>1290</v>
      </c>
      <c r="B14" s="21" t="s">
        <v>1291</v>
      </c>
      <c r="C14" s="13" t="s">
        <v>1292</v>
      </c>
      <c r="D14" s="13" t="s">
        <v>1293</v>
      </c>
      <c r="E14" s="13" t="s">
        <v>1294</v>
      </c>
    </row>
    <row r="15" customFormat="false" ht="41.25" hidden="false" customHeight="true" outlineLevel="0" collapsed="false">
      <c r="A15" s="12" t="s">
        <v>1295</v>
      </c>
      <c r="B15" s="21" t="s">
        <v>1296</v>
      </c>
      <c r="C15" s="13" t="s">
        <v>1297</v>
      </c>
      <c r="D15" s="13" t="s">
        <v>1298</v>
      </c>
      <c r="E15" s="13" t="s">
        <v>1299</v>
      </c>
    </row>
    <row r="16" customFormat="false" ht="41.25" hidden="false" customHeight="true" outlineLevel="0" collapsed="false">
      <c r="A16" s="12" t="s">
        <v>1300</v>
      </c>
      <c r="B16" s="21" t="s">
        <v>1301</v>
      </c>
      <c r="C16" s="13" t="s">
        <v>1302</v>
      </c>
      <c r="D16" s="13" t="s">
        <v>1303</v>
      </c>
      <c r="E16" s="13" t="s">
        <v>1304</v>
      </c>
    </row>
    <row r="17" customFormat="false" ht="41.25" hidden="false" customHeight="true" outlineLevel="0" collapsed="false">
      <c r="A17" s="12" t="s">
        <v>1305</v>
      </c>
      <c r="B17" s="21" t="s">
        <v>1306</v>
      </c>
      <c r="C17" s="13" t="s">
        <v>1307</v>
      </c>
      <c r="D17" s="13" t="s">
        <v>1308</v>
      </c>
      <c r="E17" s="13" t="s">
        <v>1309</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2026-10-09T02:14:41Z</dcterms:created>
  <dc:creator>openpyxl</dc:creator>
  <dc:description/>
  <dc:language>en-US</dc:language>
  <cp:lastModifiedBy/>
  <dcterms:modified xsi:type="dcterms:W3CDTF">2026-10-09T02:14:41Z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